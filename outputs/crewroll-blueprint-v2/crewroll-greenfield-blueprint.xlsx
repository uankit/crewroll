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2bd00967d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Blueprint" sheetId="1" r:id="Rfb8e533db4e44b09"/>
    <x:sheet xmlns:r="http://schemas.openxmlformats.org/officeDocument/2006/relationships" name="System Flow" sheetId="2" r:id="Rbd639e8d07ad4240"/>
    <x:sheet xmlns:r="http://schemas.openxmlformats.org/officeDocument/2006/relationships" name="MVP Scope" sheetId="3" r:id="Rb4b01a903b8b4eee"/>
    <x:sheet xmlns:r="http://schemas.openxmlformats.org/officeDocument/2006/relationships" name="Tech Stack" sheetId="4" r:id="R8e0b4319f9134c96"/>
    <x:sheet xmlns:r="http://schemas.openxmlformats.org/officeDocument/2006/relationships" name="Data &amp; Interfaces" sheetId="5" r:id="R1d47e24b1a924084"/>
    <x:sheet xmlns:r="http://schemas.openxmlformats.org/officeDocument/2006/relationships" name="State Machines" sheetId="6" r:id="Rd11298448fe74ea7"/>
    <x:sheet xmlns:r="http://schemas.openxmlformats.org/officeDocument/2006/relationships" name="Scale Model" sheetId="7" r:id="Rf091ddeadd1c4b77"/>
    <x:sheet xmlns:r="http://schemas.openxmlformats.org/officeDocument/2006/relationships" name="SLO &amp; Tests" sheetId="8" r:id="R3238acc952a043b8"/>
    <x:sheet xmlns:r="http://schemas.openxmlformats.org/officeDocument/2006/relationships" name="Roadmap" sheetId="9" r:id="Re6b6d7827c774a41"/>
    <x:sheet xmlns:r="http://schemas.openxmlformats.org/officeDocument/2006/relationships" name="Decisions &amp; Risks" sheetId="10" r:id="Ref31892a710a4f58"/>
    <x:sheet xmlns:r="http://schemas.openxmlformats.org/officeDocument/2006/relationships" name="Sources" sheetId="11" r:id="R483673f39614469b"/>
    <x:sheet xmlns:r="http://schemas.openxmlformats.org/officeDocument/2006/relationships" name="Product Contract" sheetId="12" r:id="Rc8da7982006a4d52"/>
    <x:sheet xmlns:r="http://schemas.openxmlformats.org/officeDocument/2006/relationships" name="Modules" sheetId="13" r:id="Re22f041acb5b434f"/>
    <x:sheet xmlns:r="http://schemas.openxmlformats.org/officeDocument/2006/relationships" name="Native Jobs" sheetId="14" r:id="Rba451a497e5f4324"/>
    <x:sheet xmlns:r="http://schemas.openxmlformats.org/officeDocument/2006/relationships" name="Design System" sheetId="15" r:id="R35709c2a7b664f12"/>
    <x:sheet xmlns:r="http://schemas.openxmlformats.org/officeDocument/2006/relationships" name="Tech Tasks" sheetId="16" r:id="R90e89e4e7230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$0.00"/>
    <x:numFmt numFmtId="202" formatCode="#,##0"/>
    <x:numFmt numFmtId="203" formatCode="#,##0.0"/>
    <x:numFmt numFmtId="204" formatCode="$#,##0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D7E7F3"/>
      <x:name val="Carlito"/>
    </x:font>
    <x:font>
      <x:b/>
      <x:sz val="11"/>
      <x:color rgb="FFFFFFFF"/>
      <x:name val="Carlito"/>
    </x:font>
    <x:font>
      <x:b/>
      <x:sz val="15"/>
      <x:color rgb="FF12263A"/>
      <x:name val="Carlito"/>
    </x:font>
    <x:font>
      <x:b/>
      <x:sz val="9"/>
      <x:color rgb="FFFFFFFF"/>
      <x:name val="Carlito"/>
    </x:font>
    <x:font>
      <x:sz val="9"/>
      <x:color rgb="FF172033"/>
      <x:name val="Carlito"/>
    </x:font>
    <x:font>
      <x:b/>
      <x:sz val="9"/>
      <x:color rgb="FF15803D"/>
      <x:name val="Carlito"/>
    </x:font>
    <x:font>
      <x:b/>
      <x:sz val="9"/>
      <x:color rgb="FF2563EB"/>
      <x:name val="Carlito"/>
    </x:font>
    <x:font>
      <x:b/>
      <x:sz val="9"/>
      <x:color rgb="FFB91C1C"/>
      <x:name val="Carlito"/>
    </x:font>
    <x:font>
      <x:b/>
      <x:sz val="9"/>
      <x:color rgb="FFD97706"/>
      <x:name val="Carlito"/>
    </x:font>
    <x:font>
      <x:sz val="9"/>
      <x:name val="Carlito"/>
    </x:font>
    <x:font>
      <x:b/>
      <x:sz val="11"/>
      <x:color rgb="FF92400E"/>
      <x:name val="Carlito"/>
    </x:font>
    <x:font>
      <x:b/>
      <x:sz val="11"/>
      <x:color rgb="FF15803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1D3B56"/>
      </x:patternFill>
    </x:fill>
    <x:fill>
      <x:patternFill patternType="solid">
        <x:fgColor rgb="FF0F766E"/>
      </x:patternFill>
    </x:fill>
    <x:fill>
      <x:patternFill patternType="solid">
        <x:fgColor rgb="FFDDF4F1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9">
    <x:border/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</x:border>
    <x:border>
      <x:right style="medium">
        <x:color rgb="FF0F766E"/>
      </x:right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medium">
        <x:color rgb="FFD97706"/>
      </x:left>
      <x:top style="medium">
        <x:color rgb="FFD97706"/>
      </x:top>
    </x:border>
    <x:border>
      <x:top style="medium">
        <x:color rgb="FFD97706"/>
      </x:top>
    </x:border>
    <x:border>
      <x:right style="medium">
        <x:color rgb="FFD97706"/>
      </x:right>
      <x:top style="medium">
        <x:color rgb="FFD97706"/>
      </x:top>
    </x:border>
    <x:border>
      <x:left style="medium">
        <x:color rgb="FFD97706"/>
      </x:left>
    </x:border>
    <x:border>
      <x:right style="medium">
        <x:color rgb="FFD97706"/>
      </x:right>
    </x:border>
    <x:border>
      <x:left style="medium">
        <x:color rgb="FFD97706"/>
      </x:left>
      <x:bottom style="medium">
        <x:color rgb="FFD97706"/>
      </x:bottom>
    </x:border>
    <x:border>
      <x:bottom style="medium">
        <x:color rgb="FFD97706"/>
      </x:bottom>
    </x:border>
    <x:border>
      <x:right style="medium">
        <x:color rgb="FFD97706"/>
      </x:right>
      <x:bottom style="medium">
        <x:color rgb="FFD97706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9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horizontal="center" vertical="top" wrapText="1"/>
    </x:xf>
    <x:xf numFmtId="0" fontId="7" fillId="7" borderId="10" xfId="0" applyNumberFormat="1" applyFont="1" applyFill="1" applyBorder="1" applyAlignment="1">
      <x:alignment horizontal="center" vertical="center" wrapText="1"/>
    </x:xf>
    <x:xf numFmtId="0" fontId="6" fillId="8" borderId="10" xfId="0" applyNumberFormat="1" applyFont="1" applyFill="1" applyBorder="1" applyAlignment="1">
      <x:alignment vertical="top" wrapText="1"/>
    </x:xf>
    <x:xf numFmtId="0" fontId="8" fillId="8" borderId="10" xfId="0" applyNumberFormat="1" applyFont="1" applyFill="1" applyBorder="1" applyAlignment="1">
      <x:alignment vertical="top" wrapText="1"/>
    </x:xf>
    <x:xf numFmtId="0" fontId="8" fillId="8" borderId="10" xfId="0" applyNumberFormat="1" applyFont="1" applyFill="1" applyBorder="1" applyAlignment="1">
      <x:alignment horizontal="center" vertical="top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vertical="top" wrapText="1"/>
    </x:xf>
    <x:xf numFmtId="0" fontId="9" fillId="9" borderId="10" xfId="0" applyNumberFormat="1" applyFont="1" applyFill="1" applyBorder="1" applyAlignment="1">
      <x:alignment vertical="top" wrapText="1"/>
    </x:xf>
    <x:xf numFmtId="0" fontId="9" fillId="9" borderId="10" xfId="0" applyNumberFormat="1" applyFont="1" applyFill="1" applyBorder="1" applyAlignment="1">
      <x:alignment horizontal="center" vertical="top" wrapText="1"/>
    </x:xf>
    <x:xf numFmtId="0" fontId="9" fillId="9" borderId="10" xfId="0" applyNumberFormat="1" applyFont="1" applyFill="1" applyBorder="1" applyAlignment="1">
      <x:alignment horizontal="center" vertical="center" wrapText="1"/>
    </x:xf>
    <x:xf numFmtId="0" fontId="6" fillId="10" borderId="10" xfId="0" applyNumberFormat="1" applyFont="1" applyFill="1" applyBorder="1" applyAlignment="1">
      <x:alignment vertical="top" wrapText="1"/>
    </x:xf>
    <x:xf numFmtId="0" fontId="10" fillId="10" borderId="10" xfId="0" applyNumberFormat="1" applyFont="1" applyFill="1" applyBorder="1" applyAlignment="1">
      <x:alignment vertical="top" wrapText="1"/>
    </x:xf>
    <x:xf numFmtId="0" fontId="10" fillId="10" borderId="10" xfId="0" applyNumberFormat="1" applyFont="1" applyFill="1" applyBorder="1" applyAlignment="1">
      <x:alignment horizontal="center" vertical="top" wrapText="1"/>
    </x:xf>
    <x:xf numFmtId="0" fontId="10" fillId="10" borderId="1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9" xfId="0" applyNumberFormat="1" applyFont="1" applyFill="1" applyBorder="1"/>
    <x:xf numFmtId="200" fontId="8" fillId="8" borderId="10" xfId="0" applyNumberFormat="1" applyFont="1" applyFill="1" applyBorder="1" applyAlignment="1">
      <x:alignment vertical="top" wrapText="1"/>
    </x:xf>
    <x:xf numFmtId="201" fontId="8" fillId="8" borderId="10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202" fontId="7" fillId="7" borderId="10" xfId="0" applyNumberFormat="1" applyFont="1" applyFill="1" applyBorder="1" applyAlignment="1">
      <x:alignment wrapText="1"/>
    </x:xf>
    <x:xf numFmtId="203" fontId="7" fillId="7" borderId="10" xfId="0" applyNumberFormat="1" applyFont="1" applyFill="1" applyBorder="1" applyAlignment="1">
      <x:alignment wrapText="1"/>
    </x:xf>
    <x:xf numFmtId="204" fontId="7" fillId="7" borderId="10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10" xfId="0" applyNumberFormat="1" applyFont="1" applyFill="1" applyBorder="1"/>
    <x:xf numFmtId="200" fontId="11" fillId="0" borderId="10" xfId="0" applyNumberFormat="1" applyFont="1" applyFill="1" applyBorder="1"/>
    <x:xf numFmtId="202" fontId="11" fillId="0" borderId="10" xfId="0" applyNumberFormat="1" applyFont="1" applyFill="1" applyBorder="1"/>
    <x:xf numFmtId="203" fontId="11" fillId="0" borderId="10" xfId="0" applyNumberFormat="1" applyFont="1" applyFill="1" applyBorder="1"/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11" xfId="0" applyNumberFormat="1" applyFont="1" applyFill="1" applyBorder="1"/>
    <x:xf numFmtId="0" fontId="12" fillId="10" borderId="12" xfId="0" applyNumberFormat="1" applyFont="1" applyFill="1" applyBorder="1"/>
    <x:xf numFmtId="0" fontId="12" fillId="10" borderId="13" xfId="0" applyNumberFormat="1" applyFont="1" applyFill="1" applyBorder="1"/>
    <x:xf numFmtId="0" fontId="12" fillId="10" borderId="14" xfId="0" applyNumberFormat="1" applyFont="1" applyFill="1" applyBorder="1"/>
    <x:xf numFmtId="0" fontId="12" fillId="10" borderId="15" xfId="0" applyNumberFormat="1" applyFont="1" applyFill="1" applyBorder="1"/>
    <x:xf numFmtId="0" fontId="12" fillId="10" borderId="16" xfId="0" applyNumberFormat="1" applyFont="1" applyFill="1" applyBorder="1"/>
    <x:xf numFmtId="0" fontId="12" fillId="10" borderId="17" xfId="0" applyNumberFormat="1" applyFont="1" applyFill="1" applyBorder="1"/>
    <x:xf numFmtId="0" fontId="12" fillId="10" borderId="18" xfId="0" applyNumberFormat="1" applyFont="1" applyFill="1" applyBorder="1"/>
    <x:xf numFmtId="0" fontId="12" fillId="10" borderId="11" xfId="0" applyNumberFormat="1" applyFont="1" applyFill="1" applyBorder="1" applyAlignment="1">
      <x:alignment wrapText="1"/>
    </x:xf>
    <x:xf numFmtId="0" fontId="12" fillId="10" borderId="12" xfId="0" applyNumberFormat="1" applyFont="1" applyFill="1" applyBorder="1" applyAlignment="1">
      <x:alignment wrapText="1"/>
    </x:xf>
    <x:xf numFmtId="0" fontId="12" fillId="10" borderId="13" xfId="0" applyNumberFormat="1" applyFont="1" applyFill="1" applyBorder="1" applyAlignment="1">
      <x:alignment wrapText="1"/>
    </x:xf>
    <x:xf numFmtId="0" fontId="12" fillId="10" borderId="14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0" borderId="15" xfId="0" applyNumberFormat="1" applyFont="1" applyFill="1" applyBorder="1" applyAlignment="1">
      <x:alignment wrapText="1"/>
    </x:xf>
    <x:xf numFmtId="0" fontId="12" fillId="10" borderId="16" xfId="0" applyNumberFormat="1" applyFont="1" applyFill="1" applyBorder="1" applyAlignment="1">
      <x:alignment wrapText="1"/>
    </x:xf>
    <x:xf numFmtId="0" fontId="12" fillId="10" borderId="17" xfId="0" applyNumberFormat="1" applyFont="1" applyFill="1" applyBorder="1" applyAlignment="1">
      <x:alignment wrapText="1"/>
    </x:xf>
    <x:xf numFmtId="0" fontId="12" fillId="10" borderId="18" xfId="0" applyNumberFormat="1" applyFont="1" applyFill="1" applyBorder="1" applyAlignment="1">
      <x:alignment wrapText="1"/>
    </x:xf>
    <x:xf numFmtId="0" fontId="12" fillId="10" borderId="11" xfId="0" applyNumberFormat="1" applyFont="1" applyFill="1" applyBorder="1" applyAlignment="1">
      <x:alignment vertical="center" wrapText="1"/>
    </x:xf>
    <x:xf numFmtId="0" fontId="12" fillId="10" borderId="12" xfId="0" applyNumberFormat="1" applyFont="1" applyFill="1" applyBorder="1" applyAlignment="1">
      <x:alignment vertical="center" wrapText="1"/>
    </x:xf>
    <x:xf numFmtId="0" fontId="12" fillId="10" borderId="13" xfId="0" applyNumberFormat="1" applyFont="1" applyFill="1" applyBorder="1" applyAlignment="1">
      <x:alignment vertical="center" wrapText="1"/>
    </x:xf>
    <x:xf numFmtId="0" fontId="12" fillId="10" borderId="14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12" fillId="10" borderId="15" xfId="0" applyNumberFormat="1" applyFont="1" applyFill="1" applyBorder="1" applyAlignment="1">
      <x:alignment vertical="center" wrapText="1"/>
    </x:xf>
    <x:xf numFmtId="0" fontId="12" fillId="10" borderId="16" xfId="0" applyNumberFormat="1" applyFont="1" applyFill="1" applyBorder="1" applyAlignment="1">
      <x:alignment vertical="center" wrapText="1"/>
    </x:xf>
    <x:xf numFmtId="0" fontId="12" fillId="10" borderId="17" xfId="0" applyNumberFormat="1" applyFont="1" applyFill="1" applyBorder="1" applyAlignment="1">
      <x:alignment vertical="center" wrapText="1"/>
    </x:xf>
    <x:xf numFmtId="0" fontId="12" fillId="10" borderId="1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horizontal="center"/>
    </x:xf>
    <x:xf numFmtId="0" fontId="13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f5c8ba21c4ca8" /><Relationship Type="http://schemas.openxmlformats.org/officeDocument/2006/relationships/theme" Target="/xl/theme/theme1.xml" Id="R6a3a6ba86370463a" /><Relationship Type="http://schemas.openxmlformats.org/officeDocument/2006/relationships/sharedStrings" Target="/xl/sharedStrings.xml" Id="Rc39b9e96e2f243b2" /><Relationship Type="http://schemas.openxmlformats.org/officeDocument/2006/relationships/worksheet" Target="/xl/worksheets/sheet1.xml" Id="Rfb8e533db4e44b09" /><Relationship Type="http://schemas.openxmlformats.org/officeDocument/2006/relationships/worksheet" Target="/xl/worksheets/sheet2.xml" Id="Rbd639e8d07ad4240" /><Relationship Type="http://schemas.openxmlformats.org/officeDocument/2006/relationships/worksheet" Target="/xl/worksheets/sheet3.xml" Id="Rb4b01a903b8b4eee" /><Relationship Type="http://schemas.openxmlformats.org/officeDocument/2006/relationships/worksheet" Target="/xl/worksheets/sheet4.xml" Id="R8e0b4319f9134c96" /><Relationship Type="http://schemas.openxmlformats.org/officeDocument/2006/relationships/worksheet" Target="/xl/worksheets/sheet5.xml" Id="R1d47e24b1a924084" /><Relationship Type="http://schemas.openxmlformats.org/officeDocument/2006/relationships/worksheet" Target="/xl/worksheets/sheet6.xml" Id="Rd11298448fe74ea7" /><Relationship Type="http://schemas.openxmlformats.org/officeDocument/2006/relationships/worksheet" Target="/xl/worksheets/sheet7.xml" Id="Rf091ddeadd1c4b77" /><Relationship Type="http://schemas.openxmlformats.org/officeDocument/2006/relationships/worksheet" Target="/xl/worksheets/sheet8.xml" Id="R3238acc952a043b8" /><Relationship Type="http://schemas.openxmlformats.org/officeDocument/2006/relationships/worksheet" Target="/xl/worksheets/sheet9.xml" Id="Re6b6d7827c774a41" /><Relationship Type="http://schemas.openxmlformats.org/officeDocument/2006/relationships/worksheet" Target="/xl/worksheets/sheet10.xml" Id="Ref31892a710a4f58" /><Relationship Type="http://schemas.openxmlformats.org/officeDocument/2006/relationships/worksheet" Target="/xl/worksheets/sheet11.xml" Id="R483673f39614469b" /><Relationship Type="http://schemas.openxmlformats.org/officeDocument/2006/relationships/worksheet" Target="/xl/worksheets/sheet12.xml" Id="Rc8da7982006a4d52" /><Relationship Type="http://schemas.openxmlformats.org/officeDocument/2006/relationships/worksheet" Target="/xl/worksheets/sheet13.xml" Id="Re22f041acb5b434f" /><Relationship Type="http://schemas.openxmlformats.org/officeDocument/2006/relationships/worksheet" Target="/xl/worksheets/sheet14.xml" Id="Rba451a497e5f4324" /><Relationship Type="http://schemas.openxmlformats.org/officeDocument/2006/relationships/worksheet" Target="/xl/worksheets/sheet15.xml" Id="R35709c2a7b664f12" /><Relationship Type="http://schemas.openxmlformats.org/officeDocument/2006/relationships/worksheet" Target="/xl/worksheets/sheet16.xml" Id="R90e89e4e723044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b49a97432246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Recipient photo delivery by active-user share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Delivery TB/day</c:v>
          </c:tx>
          <c:marker>
            <c:symbol val="none"/>
          </c:marker>
          <c:cat>
            <c:strRef>
              <c:f>'Scale Model'!$H$35:$H$39</c:f>
              <c:strCache>
                <c:ptCount val="0"/>
              </c:strCache>
            </c:strRef>
          </c:cat>
          <c:val>
            <c:numRef>
              <c:f>'Scale Model'!$I$35:$I$39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b49a974322467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fe0fcf3d97043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8" hidden="0" customWidth="1"/>
    <x:col min="5" max="5" width="14" hidden="0" customWidth="1"/>
    <x:col min="6" max="6" width="20" hidden="0" customWidth="1"/>
    <x:col min="7" max="7" width="18" hidden="0" customWidth="1"/>
    <x:col min="8" max="8" width="26" hidden="0" customWidth="1"/>
  </x:cols>
  <x:sheetData>
    <x:row r="1" ht="26" customHeight="1">
      <x:c r="A1" s="3" t="str">
        <x:v>Executive Blueprint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7" t="str">
        <x:v>Greenfield target: fast previews, exact originals, durable delivery, E2EE, temporary ciphertext only.</x:v>
      </x:c>
      <x:c r="B3" s="7"/>
      <x:c r="C3" s="7"/>
      <x:c r="D3" s="7"/>
      <x:c r="E3" s="7"/>
      <x:c r="F3" s="7"/>
      <x:c r="G3" s="7"/>
      <x:c r="H3" s="7"/>
    </x:row>
    <x:row r="5" ht="22" customHeight="1">
      <x:c r="A5" s="10" t="str">
        <x:v>North-star product contract</x:v>
      </x:c>
      <x:c r="B5" s="10"/>
      <x:c r="C5" s="10"/>
      <x:c r="D5" s="10"/>
      <x:c r="E5" s="10"/>
      <x:c r="F5" s="10"/>
      <x:c r="G5" s="10"/>
      <x:c r="H5" s="10"/>
    </x:row>
    <x:row r="6">
      <x:c r="A6" s="39" t="str">
        <x:v>At trip completion, every required member has every required asset saved locally — or CrewRoll names the exact asset/device gap. Uploading to the cloud is not completion.</x:v>
      </x:c>
      <x:c r="B6" s="40"/>
      <x:c r="C6" s="40"/>
      <x:c r="D6" s="40"/>
      <x:c r="E6" s="40"/>
      <x:c r="F6" s="40"/>
      <x:c r="G6" s="40"/>
      <x:c r="H6" s="41"/>
    </x:row>
    <x:row r="7">
      <x:c r="A7" s="42"/>
      <x:c r="B7" s="43"/>
      <x:c r="C7" s="43"/>
      <x:c r="D7" s="43"/>
      <x:c r="E7" s="43"/>
      <x:c r="F7" s="43"/>
      <x:c r="G7" s="43"/>
      <x:c r="H7" s="44"/>
    </x:row>
    <x:row r="8">
      <x:c r="A8" s="45"/>
      <x:c r="B8" s="46"/>
      <x:c r="C8" s="46"/>
      <x:c r="D8" s="46"/>
      <x:c r="E8" s="46"/>
      <x:c r="F8" s="46"/>
      <x:c r="G8" s="46"/>
      <x:c r="H8" s="47"/>
    </x:row>
    <x:row r="10" ht="22" customHeight="1">
      <x:c r="A10" s="10" t="str">
        <x:v>Architecture at a glance</x:v>
      </x:c>
      <x:c r="B10" s="10"/>
      <x:c r="C10" s="10"/>
      <x:c r="D10" s="10"/>
      <x:c r="E10" s="10"/>
      <x:c r="F10" s="10"/>
      <x:c r="G10" s="10"/>
      <x:c r="H10" s="10"/>
    </x:row>
    <x:row r="11" ht="28" customHeight="1">
      <x:c r="A11" s="51" t="str">
        <x:v>Step</x:v>
      </x:c>
      <x:c r="B11" s="51" t="str">
        <x:v>Plane</x:v>
      </x:c>
      <x:c r="C11" s="51" t="str">
        <x:v>Component</x:v>
      </x:c>
      <x:c r="D11" s="51" t="str">
        <x:v>What happens</x:v>
      </x:c>
      <x:c r="E11" s="51" t="str">
        <x:v>Durable boundary</x:v>
      </x:c>
      <x:c r="F11" s="51" t="str">
        <x:v>Speed tactic</x:v>
      </x:c>
      <x:c r="G11" s="51" t="str">
        <x:v>Failure recovery</x:v>
      </x:c>
      <x:c r="H11" s="51" t="str">
        <x:v>Key rule</x:v>
      </x:c>
    </x:row>
    <x:row r="12" ht="48" customHeight="1">
      <x:c r="A12" s="55" t="n">
        <x:v>1</x:v>
      </x:c>
      <x:c r="B12" s="55" t="str">
        <x:v>Device</x:v>
      </x:c>
      <x:c r="C12" s="55" t="str">
        <x:v>Native detector</x:v>
      </x:c>
      <x:c r="D12" s="55" t="str">
        <x:v>Observe eligible photo-library images and reconcile missed assets</x:v>
      </x:c>
      <x:c r="E12" s="55" t="str">
        <x:v>Native SQLite outbox</x:v>
      </x:c>
      <x:c r="F12" s="55" t="str">
        <x:v>Record before network</x:v>
      </x:c>
      <x:c r="G12" s="55" t="str">
        <x:v>Persistent token / generation cursor</x:v>
      </x:c>
      <x:c r="H12" s="55" t="str">
        <x:v>Pause never stops discovery</x:v>
      </x:c>
    </x:row>
    <x:row r="13" ht="48" customHeight="1">
      <x:c r="A13" s="56" t="n">
        <x:v>2</x:v>
      </x:c>
      <x:c r="B13" s="56" t="str">
        <x:v>Device</x:v>
      </x:c>
      <x:c r="C13" s="56" t="str">
        <x:v>Preview pipeline</x:v>
      </x:c>
      <x:c r="D13" s="56" t="str">
        <x:v>Create small metadata-light preview and encrypt locally</x:v>
      </x:c>
      <x:c r="E13" s="56" t="str">
        <x:v>Preview job row + file</x:v>
      </x:c>
      <x:c r="F13" s="56" t="str">
        <x:v>Preview gets a dedicated high-priority lane</x:v>
      </x:c>
      <x:c r="G13" s="56" t="str">
        <x:v>Idempotent regeneration</x:v>
      </x:c>
      <x:c r="H13" s="56" t="str">
        <x:v>Original remains byte-exact</x:v>
      </x:c>
    </x:row>
    <x:row r="14" ht="48" customHeight="1">
      <x:c r="A14" s="55" t="n">
        <x:v>3</x:v>
      </x:c>
      <x:c r="B14" s="55" t="str">
        <x:v>Object</x:v>
      </x:c>
      <x:c r="C14" s="55" t="str">
        <x:v>Signed direct upload</x:v>
      </x:c>
      <x:c r="D14" s="55" t="str">
        <x:v>Upload encrypted preview, then encrypted exact photo original</x:v>
      </x:c>
      <x:c r="E14" s="55" t="str">
        <x:v>Temporary private AWS S3 bucket</x:v>
      </x:c>
      <x:c r="F14" s="55" t="str">
        <x:v>No API byte proxy</x:v>
      </x:c>
      <x:c r="G14" s="55" t="str">
        <x:v>Idempotent retry with backoff</x:v>
      </x:c>
      <x:c r="H14" s="55" t="str">
        <x:v>Server sees ciphertext only</x:v>
      </x:c>
    </x:row>
    <x:row r="15" ht="48" customHeight="1">
      <x:c r="A15" s="56" t="n">
        <x:v>4</x:v>
      </x:c>
      <x:c r="B15" s="56" t="str">
        <x:v>Control</x:v>
      </x:c>
      <x:c r="C15" s="56" t="str">
        <x:v>Modular monolith</x:v>
      </x:c>
      <x:c r="D15" s="56" t="str">
        <x:v>Commit manifest, membership, intended recipients, release time</x:v>
      </x:c>
      <x:c r="E15" s="56" t="str">
        <x:v>PostgreSQL transaction</x:v>
      </x:c>
      <x:c r="F15" s="56" t="str">
        <x:v>Single commit fans out inbox rows</x:v>
      </x:c>
      <x:c r="G15" s="56" t="str">
        <x:v>Idempotency keys + outbox</x:v>
      </x:c>
      <x:c r="H15" s="56" t="str">
        <x:v>Push is never source of truth</x:v>
      </x:c>
    </x:row>
    <x:row r="16" ht="48" customHeight="1">
      <x:c r="A16" s="55" t="n">
        <x:v>5</x:v>
      </x:c>
      <x:c r="B16" s="55" t="str">
        <x:v>Delivery</x:v>
      </x:c>
      <x:c r="C16" s="55" t="str">
        <x:v>Durable member inbox</x:v>
      </x:c>
      <x:c r="D16" s="55" t="str">
        <x:v>Expose ordered changes by recipient cursor</x:v>
      </x:c>
      <x:c r="E16" s="55" t="str">
        <x:v>PostgreSQL inbox_events</x:v>
      </x:c>
      <x:c r="F16" s="55" t="str">
        <x:v>Foreground sync + push hint</x:v>
      </x:c>
      <x:c r="G16" s="55" t="str">
        <x:v>Cursor replay</x:v>
      </x:c>
      <x:c r="H16" s="55" t="str">
        <x:v>Offline members are normal</x:v>
      </x:c>
    </x:row>
    <x:row r="17" ht="48" customHeight="1">
      <x:c r="A17" s="56" t="n">
        <x:v>6</x:v>
      </x:c>
      <x:c r="B17" s="56" t="str">
        <x:v>Device</x:v>
      </x:c>
      <x:c r="C17" s="56" t="str">
        <x:v>Native receive engine</x:v>
      </x:c>
      <x:c r="D17" s="56" t="str">
        <x:v>Download, decrypt, verify, save to system photo library</x:v>
      </x:c>
      <x:c r="E17" s="56" t="str">
        <x:v>SQLite save ledger</x:v>
      </x:c>
      <x:c r="F17" s="56" t="str">
        <x:v>Preview before original</x:v>
      </x:c>
      <x:c r="G17" s="56" t="str">
        <x:v>Retry from durable state</x:v>
      </x:c>
      <x:c r="H17" s="56" t="str">
        <x:v>Receipt only after library save</x:v>
      </x:c>
    </x:row>
    <x:row r="18" ht="48" customHeight="1">
      <x:c r="A18" s="55" t="n">
        <x:v>7</x:v>
      </x:c>
      <x:c r="B18" s="55" t="str">
        <x:v>Cleanup</x:v>
      </x:c>
      <x:c r="C18" s="55" t="str">
        <x:v>Receipt reconciler</x:v>
      </x:c>
      <x:c r="D18" s="55" t="str">
        <x:v>Delete ciphertext after all saves; TTL is backstop</x:v>
      </x:c>
      <x:c r="E18" s="55" t="str">
        <x:v>Receipt matrix + audit event</x:v>
      </x:c>
      <x:c r="F18" s="55" t="str">
        <x:v>Early all-ack purge</x:v>
      </x:c>
      <x:c r="G18" s="55" t="str">
        <x:v>Lifecycle policy</x:v>
      </x:c>
      <x:c r="H18" s="55" t="str">
        <x:v>Never claim complete with gaps</x:v>
      </x:c>
    </x:row>
    <x:row r="20" ht="22" customHeight="1">
      <x:c r="A20" s="10" t="str">
        <x:v>MVP guardrails</x:v>
      </x:c>
      <x:c r="B20" s="10"/>
      <x:c r="C20" s="10"/>
      <x:c r="D20" s="10"/>
      <x:c r="E20" s="10"/>
      <x:c r="F20" s="10"/>
      <x:c r="G20" s="10"/>
      <x:c r="H20" s="10"/>
    </x:row>
    <x:row r="21" ht="28" customHeight="1">
      <x:c r="A21" s="51" t="str">
        <x:v>Constraint</x:v>
      </x:c>
      <x:c r="B21" s="51" t="str">
        <x:v>Decision</x:v>
      </x:c>
      <x:c r="C21" s="51" t="str">
        <x:v>Constraint</x:v>
      </x:c>
      <x:c r="D21" s="51" t="str">
        <x:v>Decision</x:v>
      </x:c>
      <x:c r="E21" s="51" t="str">
        <x:v>Constraint</x:v>
      </x:c>
      <x:c r="F21" s="51" t="str">
        <x:v>Decision</x:v>
      </x:c>
      <x:c r="G21" s="51" t="str">
        <x:v>Constraint</x:v>
      </x:c>
      <x:c r="H21" s="51" t="str">
        <x:v>Decision</x:v>
      </x:c>
    </x:row>
    <x:row r="22" ht="34" customHeight="1">
      <x:c r="A22" s="55" t="str">
        <x:v>Trip size</x:v>
      </x:c>
      <x:c r="B22" s="55" t="str">
        <x:v>10 people</x:v>
      </x:c>
      <x:c r="C22" s="55" t="str">
        <x:v>Active trips</x:v>
      </x:c>
      <x:c r="D22" s="55" t="str">
        <x:v>1 per user</x:v>
      </x:c>
      <x:c r="E22" s="55" t="str">
        <x:v>Storage</x:v>
      </x:c>
      <x:c r="F22" s="55" t="str">
        <x:v>Temporary encrypted only</x:v>
      </x:c>
      <x:c r="G22" s="55" t="str">
        <x:v>Camera</x:v>
      </x:c>
      <x:c r="H22" s="55" t="str">
        <x:v>Stock camera</x:v>
      </x:c>
    </x:row>
    <x:row r="23" ht="34" customHeight="1">
      <x:c r="A23" s="56" t="str">
        <x:v>Transfer</x:v>
      </x:c>
      <x:c r="B23" s="56" t="str">
        <x:v>Cloud courier</x:v>
      </x:c>
      <x:c r="C23" s="56" t="str">
        <x:v>Fidelity</x:v>
      </x:c>
      <x:c r="D23" s="56" t="str">
        <x:v>Exact original + preview</x:v>
      </x:c>
      <x:c r="E23" s="56" t="str">
        <x:v>Schedule</x:v>
      </x:c>
      <x:c r="F23" s="56" t="str">
        <x:v>Server release gate</x:v>
      </x:c>
      <x:c r="G23" s="56" t="str">
        <x:v>Completion</x:v>
      </x:c>
      <x:c r="H23" s="56" t="str">
        <x:v>SAVED_LOCALLY matrix</x:v>
      </x:c>
    </x:row>
    <x:row r="24" ht="34" customHeight="1">
      <x:c r="A24" s="55" t="str">
        <x:v>Backend</x:v>
      </x:c>
      <x:c r="B24" s="55" t="str">
        <x:v>Modular monolith</x:v>
      </x:c>
      <x:c r="C24" s="55" t="str">
        <x:v>Queue</x:v>
      </x:c>
      <x:c r="D24" s="55" t="str">
        <x:v>Postgres / pg-boss</x:v>
      </x:c>
      <x:c r="E24" s="55" t="str">
        <x:v>Scale target</x:v>
      </x:c>
      <x:c r="F24" s="55" t="str">
        <x:v>5,000 users</x:v>
      </x:c>
      <x:c r="G24" s="55" t="str">
        <x:v>Explicitly not MVP</x:v>
      </x:c>
      <x:c r="H24" s="55" t="str">
        <x:v>P2P, Drive, Kafka, K8s</x:v>
      </x:c>
    </x:row>
  </x:sheetData>
  <x:mergeCells>
    <x:mergeCell ref="A1:H2"/>
    <x:mergeCell ref="A3:H3"/>
    <x:mergeCell ref="A5:H5"/>
    <x:mergeCell ref="A6:H8"/>
    <x:mergeCell ref="A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8" hidden="0" customWidth="1"/>
    <x:col min="3" max="3" width="22" hidden="0" customWidth="1"/>
    <x:col min="4" max="4" width="36" hidden="0" customWidth="1"/>
    <x:col min="5" max="5" width="25" hidden="0" customWidth="1"/>
    <x:col min="6" max="6" width="21" hidden="0" customWidth="1"/>
    <x:col min="7" max="7" width="25" hidden="0" customWidth="1"/>
    <x:col min="8" max="8" width="19" hidden="0" customWidth="1"/>
    <x:col min="9" max="9" width="22" hidden="0" customWidth="1"/>
  </x:cols>
  <x:sheetData>
    <x:row r="1" ht="26" customHeight="1">
      <x:c r="A1" s="3" t="str">
        <x:v>System Flow</x:v>
      </x:c>
      <x:c r="B1" s="3"/>
      <x:c r="C1" s="3"/>
      <x:c r="D1" s="3"/>
      <x:c r="E1" s="3"/>
      <x:c r="F1" s="3"/>
      <x:c r="G1" s="3"/>
      <x:c r="H1" s="3"/>
      <x:c r="I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7" t="str">
        <x:v>End-to-end operating flow with ownership, persistence, latency, and repair behavior.</x:v>
      </x:c>
      <x:c r="B3" s="7"/>
      <x:c r="C3" s="7"/>
      <x:c r="D3" s="7"/>
      <x:c r="E3" s="7"/>
      <x:c r="F3" s="7"/>
      <x:c r="G3" s="7"/>
      <x:c r="H3" s="7"/>
      <x:c r="I3" s="7"/>
    </x:row>
    <x:row r="5" ht="28" customHeight="1">
      <x:c r="A5" s="51" t="str">
        <x:v>#</x:v>
      </x:c>
      <x:c r="B5" s="51" t="str">
        <x:v>Trigger</x:v>
      </x:c>
      <x:c r="C5" s="51" t="str">
        <x:v>Owner</x:v>
      </x:c>
      <x:c r="D5" s="51" t="str">
        <x:v>Action</x:v>
      </x:c>
      <x:c r="E5" s="51" t="str">
        <x:v>Persist before next step</x:v>
      </x:c>
      <x:c r="F5" s="51" t="str">
        <x:v>Fast path</x:v>
      </x:c>
      <x:c r="G5" s="51" t="str">
        <x:v>If interrupted</x:v>
      </x:c>
      <x:c r="H5" s="51" t="str">
        <x:v>Observable event</x:v>
      </x:c>
      <x:c r="I5" s="51" t="str">
        <x:v>Exit condition</x:v>
      </x:c>
    </x:row>
    <x:row r="6" ht="54" customHeight="1">
      <x:c r="A6" s="55" t="n">
        <x:v>1</x:v>
      </x:c>
      <x:c r="B6" s="55" t="str">
        <x:v>Stock camera writes asset</x:v>
      </x:c>
      <x:c r="C6" s="55" t="str">
        <x:v>iOS PhotoKit / Android MediaStore adapter</x:v>
      </x:c>
      <x:c r="D6" s="55" t="str">
        <x:v>Detect stable source asset ID and capture metadata</x:v>
      </x:c>
      <x:c r="E6" s="55" t="str">
        <x:v>Insert DISCOVERED job</x:v>
      </x:c>
      <x:c r="F6" s="55" t="str">
        <x:v>Native callback/change trigger</x:v>
      </x:c>
      <x:c r="G6" s="55" t="str">
        <x:v>Reconcile using source cursor</x:v>
      </x:c>
      <x:c r="H6" s="55" t="str">
        <x:v>asset.discovered</x:v>
      </x:c>
      <x:c r="I6" s="55" t="str">
        <x:v>One durable outbox row</x:v>
      </x:c>
    </x:row>
    <x:row r="7" ht="54" customHeight="1">
      <x:c r="A7" s="56" t="n">
        <x:v>2</x:v>
      </x:c>
      <x:c r="B7" s="56" t="str">
        <x:v>DISCOVERED</x:v>
      </x:c>
      <x:c r="C7" s="56" t="str">
        <x:v>Native worker</x:v>
      </x:c>
      <x:c r="D7" s="56" t="str">
        <x:v>Open asset stream; create 200 KB-class preview</x:v>
      </x:c>
      <x:c r="E7" s="56" t="str">
        <x:v>Stage preview file</x:v>
      </x:c>
      <x:c r="F7" s="56" t="str">
        <x:v>Preview work preempts originals</x:v>
      </x:c>
      <x:c r="G7" s="56" t="str">
        <x:v>Restart from job row</x:v>
      </x:c>
      <x:c r="H7" s="56" t="str">
        <x:v>preview.ready</x:v>
      </x:c>
      <x:c r="I7" s="56" t="str">
        <x:v>Preview hash + bytes recorded</x:v>
      </x:c>
    </x:row>
    <x:row r="8" ht="54" customHeight="1">
      <x:c r="A8" s="55" t="n">
        <x:v>3</x:v>
      </x:c>
      <x:c r="B8" s="55" t="str">
        <x:v>Preview ready</x:v>
      </x:c>
      <x:c r="C8" s="55" t="str">
        <x:v>Crypto adapter</x:v>
      </x:c>
      <x:c r="D8" s="55" t="str">
        <x:v>Encrypt preview with trip/asset associated data</x:v>
      </x:c>
      <x:c r="E8" s="55" t="str">
        <x:v>Encrypted preview file</x:v>
      </x:c>
      <x:c r="F8" s="55" t="str">
        <x:v>Native libsodium</x:v>
      </x:c>
      <x:c r="G8" s="55" t="str">
        <x:v>Regenerate deterministically from source job</x:v>
      </x:c>
      <x:c r="H8" s="55" t="str">
        <x:v>preview.encrypted</x:v>
      </x:c>
      <x:c r="I8" s="55" t="str">
        <x:v>Ciphertext authenticated</x:v>
      </x:c>
    </x:row>
    <x:row r="9" ht="54" customHeight="1">
      <x:c r="A9" s="56" t="n">
        <x:v>4</x:v>
      </x:c>
      <x:c r="B9" s="56" t="str">
        <x:v>Network allowed</x:v>
      </x:c>
      <x:c r="C9" s="56" t="str">
        <x:v>Native uploader</x:v>
      </x:c>
      <x:c r="D9" s="56" t="str">
        <x:v>Request recipient-independent signed upload session</x:v>
      </x:c>
      <x:c r="E9" s="56" t="str">
        <x:v>Session ID + expiry</x:v>
      </x:c>
      <x:c r="F9" s="56" t="str">
        <x:v>Reuse live session</x:v>
      </x:c>
      <x:c r="G9" s="56" t="str">
        <x:v>Refresh expired URL</x:v>
      </x:c>
      <x:c r="H9" s="56" t="str">
        <x:v>upload.session</x:v>
      </x:c>
      <x:c r="I9" s="56" t="str">
        <x:v>Scoped PUT URL</x:v>
      </x:c>
    </x:row>
    <x:row r="10" ht="54" customHeight="1">
      <x:c r="A10" s="55" t="n">
        <x:v>5</x:v>
      </x:c>
      <x:c r="B10" s="55" t="str">
        <x:v>Signed URL</x:v>
      </x:c>
      <x:c r="C10" s="55" t="str">
        <x:v>Native uploader</x:v>
      </x:c>
      <x:c r="D10" s="55" t="str">
        <x:v>Direct PUT preview to object store</x:v>
      </x:c>
      <x:c r="E10" s="55" t="str">
        <x:v>Object key + ciphertext hash</x:v>
      </x:c>
      <x:c r="F10" s="55" t="str">
        <x:v>High-priority lane</x:v>
      </x:c>
      <x:c r="G10" s="55" t="str">
        <x:v>Backoff with jitter</x:v>
      </x:c>
      <x:c r="H10" s="55" t="str">
        <x:v>preview.uploaded</x:v>
      </x:c>
      <x:c r="I10" s="55" t="str">
        <x:v>Remote object verified</x:v>
      </x:c>
    </x:row>
    <x:row r="11" ht="54" customHeight="1">
      <x:c r="A11" s="56" t="n">
        <x:v>6</x:v>
      </x:c>
      <x:c r="B11" s="56" t="str">
        <x:v>Preview uploaded</x:v>
      </x:c>
      <x:c r="C11" s="56" t="str">
        <x:v>Native crypto/uploader</x:v>
      </x:c>
      <x:c r="D11" s="56" t="str">
        <x:v>Stream-encrypt and upload the exact photo original</x:v>
      </x:c>
      <x:c r="E11" s="56" t="str">
        <x:v>Ciphertext staging ledger</x:v>
      </x:c>
      <x:c r="F11" s="56" t="str">
        <x:v>Bounded streaming I/O</x:v>
      </x:c>
      <x:c r="G11" s="56" t="str">
        <x:v>Refresh URL and retry idempotently</x:v>
      </x:c>
      <x:c r="H11" s="56" t="str">
        <x:v>original.uploaded</x:v>
      </x:c>
      <x:c r="I11" s="56" t="str">
        <x:v>Remote checksum verified</x:v>
      </x:c>
    </x:row>
    <x:row r="12" ht="54" customHeight="1">
      <x:c r="A12" s="55" t="n">
        <x:v>7</x:v>
      </x:c>
      <x:c r="B12" s="55" t="str">
        <x:v>Objects uploaded</x:v>
      </x:c>
      <x:c r="C12" s="55" t="str">
        <x:v>API</x:v>
      </x:c>
      <x:c r="D12" s="55" t="str">
        <x:v>Commit asset, objects, recipients, release state, outbox</x:v>
      </x:c>
      <x:c r="E12" s="55" t="str">
        <x:v>Single PostgreSQL transaction</x:v>
      </x:c>
      <x:c r="F12" s="55" t="str">
        <x:v>Idempotent command</x:v>
      </x:c>
      <x:c r="G12" s="55" t="str">
        <x:v>Replay same key</x:v>
      </x:c>
      <x:c r="H12" s="55" t="str">
        <x:v>asset.committed</x:v>
      </x:c>
      <x:c r="I12" s="55" t="str">
        <x:v>Manifest is authoritative</x:v>
      </x:c>
    </x:row>
    <x:row r="13" ht="54" customHeight="1">
      <x:c r="A13" s="56" t="n">
        <x:v>8</x:v>
      </x:c>
      <x:c r="B13" s="56" t="str">
        <x:v>Immediate or release_at</x:v>
      </x:c>
      <x:c r="C13" s="56" t="str">
        <x:v>pg-boss worker</x:v>
      </x:c>
      <x:c r="D13" s="56" t="str">
        <x:v>Make inbox rows ready and send wake-up hint</x:v>
      </x:c>
      <x:c r="E13" s="56" t="str">
        <x:v>Inbox sequence</x:v>
      </x:c>
      <x:c r="F13" s="56" t="str">
        <x:v>FCM/APNs hint</x:v>
      </x:c>
      <x:c r="G13" s="56" t="str">
        <x:v>Poll/foreground sync catches drop</x:v>
      </x:c>
      <x:c r="H13" s="56" t="str">
        <x:v>delivery.released</x:v>
      </x:c>
      <x:c r="I13" s="56" t="str">
        <x:v>Cursor-visible event</x:v>
      </x:c>
    </x:row>
    <x:row r="14" ht="54" customHeight="1">
      <x:c r="A14" s="55" t="n">
        <x:v>9</x:v>
      </x:c>
      <x:c r="B14" s="55" t="str">
        <x:v>Push/foreground/reconnect</x:v>
      </x:c>
      <x:c r="C14" s="55" t="str">
        <x:v>Recipient app</x:v>
      </x:c>
      <x:c r="D14" s="55" t="str">
        <x:v>Sync durable inbox from last cursor</x:v>
      </x:c>
      <x:c r="E14" s="55" t="str">
        <x:v>Advance cursor after persistence</x:v>
      </x:c>
      <x:c r="F14" s="55" t="str">
        <x:v>Long-poll/short foreground cadence</x:v>
      </x:c>
      <x:c r="G14" s="55" t="str">
        <x:v>Repeat same cursor</x:v>
      </x:c>
      <x:c r="H14" s="55" t="str">
        <x:v>inbox.synced</x:v>
      </x:c>
      <x:c r="I14" s="55" t="str">
        <x:v>Delivery job persisted</x:v>
      </x:c>
    </x:row>
    <x:row r="15" ht="54" customHeight="1">
      <x:c r="A15" s="56" t="n">
        <x:v>10</x:v>
      </x:c>
      <x:c r="B15" s="56" t="str">
        <x:v>Delivery ready</x:v>
      </x:c>
      <x:c r="C15" s="56" t="str">
        <x:v>Native downloader</x:v>
      </x:c>
      <x:c r="D15" s="56" t="str">
        <x:v>Download preview first; original in bounded lane</x:v>
      </x:c>
      <x:c r="E15" s="56" t="str">
        <x:v>Encrypted staging file</x:v>
      </x:c>
      <x:c r="F15" s="56" t="str">
        <x:v>Direct object GET</x:v>
      </x:c>
      <x:c r="G15" s="56" t="str">
        <x:v>Range/part retry</x:v>
      </x:c>
      <x:c r="H15" s="56" t="str">
        <x:v>download.complete</x:v>
      </x:c>
      <x:c r="I15" s="56" t="str">
        <x:v>Ciphertext hash matches</x:v>
      </x:c>
    </x:row>
    <x:row r="16" ht="54" customHeight="1">
      <x:c r="A16" s="55" t="n">
        <x:v>11</x:v>
      </x:c>
      <x:c r="B16" s="55" t="str">
        <x:v>Downloaded</x:v>
      </x:c>
      <x:c r="C16" s="55" t="str">
        <x:v>Native crypto/save</x:v>
      </x:c>
      <x:c r="D16" s="55" t="str">
        <x:v>Decrypt, authenticate, plaintext-hash, save exact original</x:v>
      </x:c>
      <x:c r="E16" s="55" t="str">
        <x:v>Unique saved_asset ledger</x:v>
      </x:c>
      <x:c r="F16" s="55" t="str">
        <x:v>Streaming I/O</x:v>
      </x:c>
      <x:c r="G16" s="55" t="str">
        <x:v>Retry save without duplicate</x:v>
      </x:c>
      <x:c r="H16" s="55" t="str">
        <x:v>delivery.saved_locally</x:v>
      </x:c>
      <x:c r="I16" s="55" t="str">
        <x:v>System library asset exists</x:v>
      </x:c>
    </x:row>
    <x:row r="17" ht="54" customHeight="1">
      <x:c r="A17" s="56" t="n">
        <x:v>12</x:v>
      </x:c>
      <x:c r="B17" s="56" t="str">
        <x:v>All recipient receipts</x:v>
      </x:c>
      <x:c r="C17" s="56" t="str">
        <x:v>Cleanup worker</x:v>
      </x:c>
      <x:c r="D17" s="56" t="str">
        <x:v>Delete objects and close reconciliation cell</x:v>
      </x:c>
      <x:c r="E17" s="56" t="str">
        <x:v>Purge audit event</x:v>
      </x:c>
      <x:c r="F17" s="56" t="str">
        <x:v>Immediate all-ack cleanup</x:v>
      </x:c>
      <x:c r="G17" s="56" t="str">
        <x:v>Lifecycle TTL backstop</x:v>
      </x:c>
      <x:c r="H17" s="56" t="str">
        <x:v>asset.purged</x:v>
      </x:c>
      <x:c r="I17" s="56" t="str">
        <x:v>No ciphertext remains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40" hidden="0" customWidth="1"/>
    <x:col min="5" max="5" width="42" hidden="0" customWidth="1"/>
    <x:col min="6" max="6" width="12" hidden="0" customWidth="1"/>
    <x:col min="7" max="7" width="24" hidden="0" customWidth="1"/>
  </x:cols>
  <x:sheetData>
    <x:row r="1" ht="26" customHeight="1">
      <x:c r="A1" s="3" t="str">
        <x:v>MVP Scope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30" customHeight="1">
      <x:c r="A3" s="7" t="str">
        <x:v>Scope is intentionally photo-first; prove the native lifecycle and reconciliation contract before video breadth.</x:v>
      </x:c>
      <x:c r="B3" s="7"/>
      <x:c r="C3" s="7"/>
      <x:c r="D3" s="7"/>
      <x:c r="E3" s="7"/>
      <x:c r="F3" s="7"/>
      <x:c r="G3" s="7"/>
    </x:row>
    <x:row r="5" ht="28" customHeight="1">
      <x:c r="A5" s="51" t="str">
        <x:v>Priority</x:v>
      </x:c>
      <x:c r="B5" s="51" t="str">
        <x:v>Area</x:v>
      </x:c>
      <x:c r="C5" s="51" t="str">
        <x:v>Capability</x:v>
      </x:c>
      <x:c r="D5" s="51" t="str">
        <x:v>MVP definition</x:v>
      </x:c>
      <x:c r="E5" s="51" t="str">
        <x:v>Acceptance criterion</x:v>
      </x:c>
      <x:c r="F5" s="51" t="str">
        <x:v>When</x:v>
      </x:c>
      <x:c r="G5" s="51" t="str">
        <x:v>Rationale</x:v>
      </x:c>
    </x:row>
    <x:row r="6" ht="48" customHeight="1">
      <x:c r="A6" s="60" t="str">
        <x:v>MUST</x:v>
      </x:c>
      <x:c r="B6" s="55" t="str">
        <x:v>Trip</x:v>
      </x:c>
      <x:c r="C6" s="55" t="str">
        <x:v>Create/join/start/end</x:v>
      </x:c>
      <x:c r="D6" s="55" t="str">
        <x:v>Invite link + QR; 10-member limit; one active trip</x:v>
      </x:c>
      <x:c r="E6" s="55" t="str">
        <x:v>10 mixed devices join; 11th is rejected atomically</x:v>
      </x:c>
      <x:c r="F6" s="55" t="str">
        <x:v>Phase 1–2</x:v>
      </x:c>
      <x:c r="G6" s="55" t="str">
        <x:v>Core promise</x:v>
      </x:c>
    </x:row>
    <x:row r="7" ht="48" customHeight="1">
      <x:c r="A7" s="60" t="str">
        <x:v>MUST</x:v>
      </x:c>
      <x:c r="B7" s="56" t="str">
        <x:v>Capture</x:v>
      </x:c>
      <x:c r="C7" s="56" t="str">
        <x:v>Stock-camera detection</x:v>
      </x:c>
      <x:c r="D7" s="56" t="str">
        <x:v>Native iOS/Android adapters plus missed-asset reconciliation</x:v>
      </x:c>
      <x:c r="E7" s="56" t="str">
        <x:v>New asset reaches local outbox with app foreground/background variations</x:v>
      </x:c>
      <x:c r="F7" s="56" t="str">
        <x:v>Phase 0–1</x:v>
      </x:c>
      <x:c r="G7" s="56" t="str">
        <x:v>Highest technical risk</x:v>
      </x:c>
    </x:row>
    <x:row r="8" ht="48" customHeight="1">
      <x:c r="A8" s="60" t="str">
        <x:v>MUST</x:v>
      </x:c>
      <x:c r="B8" s="55" t="str">
        <x:v>Transfer</x:v>
      </x:c>
      <x:c r="C8" s="55" t="str">
        <x:v>Preview-first photo delivery</x:v>
      </x:c>
      <x:c r="D8" s="55" t="str">
        <x:v>Encrypted preview lane, exact-original lane</x:v>
      </x:c>
      <x:c r="E8" s="55" t="str">
        <x:v>Foreground recipient sees p95 &lt; 8s on healthy network</x:v>
      </x:c>
      <x:c r="F8" s="55" t="str">
        <x:v>Phase 1</x:v>
      </x:c>
      <x:c r="G8" s="55" t="str">
        <x:v>Instant satisfaction</x:v>
      </x:c>
    </x:row>
    <x:row r="9" ht="48" customHeight="1">
      <x:c r="A9" s="60" t="str">
        <x:v>MUST</x:v>
      </x:c>
      <x:c r="B9" s="56" t="str">
        <x:v>Reliability</x:v>
      </x:c>
      <x:c r="C9" s="56" t="str">
        <x:v>Durable local jobs</x:v>
      </x:c>
      <x:c r="D9" s="56" t="str">
        <x:v>Restart/reboot/offline safe state machine</x:v>
      </x:c>
      <x:c r="E9" s="56" t="str">
        <x:v>No silent loss in chaos acceptance suite</x:v>
      </x:c>
      <x:c r="F9" s="56" t="str">
        <x:v>Phase 1</x:v>
      </x:c>
      <x:c r="G9" s="56" t="str">
        <x:v>SQLite per platform</x:v>
      </x:c>
    </x:row>
    <x:row r="10" ht="48" customHeight="1">
      <x:c r="A10" s="60" t="str">
        <x:v>MUST</x:v>
      </x:c>
      <x:c r="B10" s="55" t="str">
        <x:v>Privacy</x:v>
      </x:c>
      <x:c r="C10" s="55" t="str">
        <x:v>E2EE + temporary storage</x:v>
      </x:c>
      <x:c r="D10" s="55" t="str">
        <x:v>Server stores ciphertext, wrapped keys, manifests only</x:v>
      </x:c>
      <x:c r="E10" s="55" t="str">
        <x:v>Server cannot decrypt test asset; TTL purge audit passes</x:v>
      </x:c>
      <x:c r="F10" s="55" t="str">
        <x:v>Phase 1</x:v>
      </x:c>
      <x:c r="G10" s="55" t="str">
        <x:v>Native libsodium</x:v>
      </x:c>
    </x:row>
    <x:row r="11" ht="48" customHeight="1">
      <x:c r="A11" s="60" t="str">
        <x:v>MUST</x:v>
      </x:c>
      <x:c r="B11" s="56" t="str">
        <x:v>Delivery</x:v>
      </x:c>
      <x:c r="C11" s="56" t="str">
        <x:v>Automatic system-library save</x:v>
      </x:c>
      <x:c r="D11" s="56" t="str">
        <x:v>Verify before save; unique save ledger</x:v>
      </x:c>
      <x:c r="E11" s="56" t="str">
        <x:v>Every required device has exactly one copy</x:v>
      </x:c>
      <x:c r="F11" s="56" t="str">
        <x:v>Phase 1</x:v>
      </x:c>
      <x:c r="G11" s="56" t="str">
        <x:v>Completion receipt is post-save</x:v>
      </x:c>
    </x:row>
    <x:row r="12" ht="48" customHeight="1">
      <x:c r="A12" s="60" t="str">
        <x:v>MUST</x:v>
      </x:c>
      <x:c r="B12" s="55" t="str">
        <x:v>Operations</x:v>
      </x:c>
      <x:c r="C12" s="55" t="str">
        <x:v>Reconciliation matrix</x:v>
      </x:c>
      <x:c r="D12" s="55" t="str">
        <x:v>Asset × member/device state with precise blockers</x:v>
      </x:c>
      <x:c r="E12" s="55" t="str">
        <x:v>Trip cannot complete with any missing cell</x:v>
      </x:c>
      <x:c r="F12" s="55" t="str">
        <x:v>Phase 2</x:v>
      </x:c>
      <x:c r="G12" s="55" t="str">
        <x:v>User-visible truth</x:v>
      </x:c>
    </x:row>
    <x:row r="13" ht="48" customHeight="1">
      <x:c r="A13" s="60" t="str">
        <x:v>MUST</x:v>
      </x:c>
      <x:c r="B13" s="56" t="str">
        <x:v>Control</x:v>
      </x:c>
      <x:c r="C13" s="56" t="str">
        <x:v>Pause/resume</x:v>
      </x:c>
      <x:c r="D13" s="56" t="str">
        <x:v>Pause network only; keep discovering/spooling</x:v>
      </x:c>
      <x:c r="E13" s="56" t="str">
        <x:v>Photos captured while paused transfer after resume</x:v>
      </x:c>
      <x:c r="F13" s="56" t="str">
        <x:v>Phase 2</x:v>
      </x:c>
      <x:c r="G13" s="56" t="str">
        <x:v>Avoid missed trip photos</x:v>
      </x:c>
    </x:row>
    <x:row r="14" ht="48" customHeight="1">
      <x:c r="A14" s="64" t="str">
        <x:v>SHOULD</x:v>
      </x:c>
      <x:c r="B14" s="55" t="str">
        <x:v>Scheduling</x:v>
      </x:c>
      <x:c r="C14" s="55" t="str">
        <x:v>Release at time</x:v>
      </x:c>
      <x:c r="D14" s="55" t="str">
        <x:v>Upload early; hold recipient inbox until release_at</x:v>
      </x:c>
      <x:c r="E14" s="55" t="str">
        <x:v>All online recipients sync after release; no exact-time promise</x:v>
      </x:c>
      <x:c r="F14" s="55" t="str">
        <x:v>Phase 2</x:v>
      </x:c>
      <x:c r="G14" s="55" t="str">
        <x:v>Server gate</x:v>
      </x:c>
    </x:row>
    <x:row r="15" ht="48" customHeight="1">
      <x:c r="A15" s="68" t="str">
        <x:v>NO</x:v>
      </x:c>
      <x:c r="B15" s="56" t="str">
        <x:v>Membership</x:v>
      </x:c>
      <x:c r="C15" s="56" t="str">
        <x:v>Late join after start</x:v>
      </x:c>
      <x:c r="D15" s="56" t="str">
        <x:v>Membership and participating devices freeze at START</x:v>
      </x:c>
      <x:c r="E15" s="56" t="str">
        <x:v>Join and device-change commands reject after start</x:v>
      </x:c>
      <x:c r="F15" s="56" t="str">
        <x:v>MVP</x:v>
      </x:c>
      <x:c r="G15" s="56" t="str">
        <x:v>Avoid ambiguous recipient/key history</x:v>
      </x:c>
    </x:row>
    <x:row r="16" ht="48" customHeight="1">
      <x:c r="A16" s="64" t="str">
        <x:v>SHOULD</x:v>
      </x:c>
      <x:c r="B16" s="55" t="str">
        <x:v>Policy</x:v>
      </x:c>
      <x:c r="C16" s="55" t="str">
        <x:v>Cellular control</x:v>
      </x:c>
      <x:c r="D16" s="55" t="str">
        <x:v>Photos transfer on cellular by default; member can pause network</x:v>
      </x:c>
      <x:c r="E16" s="55" t="str">
        <x:v>Policy respected by native scheduler</x:v>
      </x:c>
      <x:c r="F16" s="55" t="str">
        <x:v>Phase 2</x:v>
      </x:c>
      <x:c r="G16" s="55" t="str">
        <x:v>Cost and battery</x:v>
      </x:c>
    </x:row>
    <x:row r="17" ht="48" customHeight="1">
      <x:c r="A17" s="68" t="str">
        <x:v>NO</x:v>
      </x:c>
      <x:c r="B17" s="56" t="str">
        <x:v>Media</x:v>
      </x:c>
      <x:c r="C17" s="56" t="str">
        <x:v>Video transfer</x:v>
      </x:c>
      <x:c r="D17" s="56" t="str">
        <x:v>No video code or multipart media path in MVP</x:v>
      </x:c>
      <x:c r="E17" s="56" t="str">
        <x:v>Video assets are ignored by discovery</x:v>
      </x:c>
      <x:c r="F17" s="56" t="str">
        <x:v>MVP</x:v>
      </x:c>
      <x:c r="G17" s="56" t="str">
        <x:v>Prove photos first</x:v>
      </x:c>
    </x:row>
    <x:row r="18" ht="48" customHeight="1">
      <x:c r="A18" s="68" t="str">
        <x:v>NO</x:v>
      </x:c>
      <x:c r="B18" s="55" t="str">
        <x:v>Acceleration</x:v>
      </x:c>
      <x:c r="C18" s="55" t="str">
        <x:v>LAN/P2P assist</x:v>
      </x:c>
      <x:c r="D18" s="55" t="str">
        <x:v>No second byte path</x:v>
      </x:c>
      <x:c r="E18" s="55" t="str">
        <x:v>All media uses the encrypted S3 object plane</x:v>
      </x:c>
      <x:c r="F18" s="55" t="str">
        <x:v>MVP</x:v>
      </x:c>
      <x:c r="G18" s="55" t="str">
        <x:v>One reliable path</x:v>
      </x:c>
    </x:row>
    <x:row r="19" ht="48" customHeight="1">
      <x:c r="A19" s="72" t="str">
        <x:v>LATER</x:v>
      </x:c>
      <x:c r="B19" s="56" t="str">
        <x:v>Export</x:v>
      </x:c>
      <x:c r="C19" s="56" t="str">
        <x:v>Drive/email/gallery</x:v>
      </x:c>
      <x:c r="D19" s="56" t="str">
        <x:v>User-triggered convenience surface</x:v>
      </x:c>
      <x:c r="E19" s="56" t="str">
        <x:v>Does not become delivery source of truth</x:v>
      </x:c>
      <x:c r="F19" s="56" t="str">
        <x:v>Post-MVP</x:v>
      </x:c>
      <x:c r="G19" s="56" t="str">
        <x:v>Optional</x:v>
      </x:c>
    </x:row>
    <x:row r="20" ht="48" customHeight="1">
      <x:c r="A20" s="68" t="str">
        <x:v>NO</x:v>
      </x:c>
      <x:c r="B20" s="55" t="str">
        <x:v>Architecture</x:v>
      </x:c>
      <x:c r="C20" s="55" t="str">
        <x:v>Microservices/Kafka/Kubernetes</x:v>
      </x:c>
      <x:c r="D20" s="55" t="str">
        <x:v>Not in MVP</x:v>
      </x:c>
      <x:c r="E20" s="55" t="str">
        <x:v>No distributed-control-plane components</x:v>
      </x:c>
      <x:c r="F20" s="55" t="str">
        <x:v>N/A</x:v>
      </x:c>
      <x:c r="G20" s="55" t="str">
        <x:v>Unjustified complexity</x:v>
      </x:c>
    </x:row>
    <x:row r="21" ht="48" customHeight="1">
      <x:c r="A21" s="68" t="str">
        <x:v>NO</x:v>
      </x:c>
      <x:c r="B21" s="56" t="str">
        <x:v>Media</x:v>
      </x:c>
      <x:c r="C21" s="56" t="str">
        <x:v>Recompress originals</x:v>
      </x:c>
      <x:c r="D21" s="56" t="str">
        <x:v>Never</x:v>
      </x:c>
      <x:c r="E21" s="56" t="str">
        <x:v>Source and saved plaintext SHA-256 match</x:v>
      </x:c>
      <x:c r="F21" s="56" t="str">
        <x:v>Always</x:v>
      </x:c>
      <x:c r="G21" s="56" t="str">
        <x:v>Quality promise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4" hidden="0" customWidth="1"/>
    <x:col min="5" max="5" width="25" hidden="0" customWidth="1"/>
    <x:col min="6" max="6" width="36" hidden="0" customWidth="1"/>
    <x:col min="7" max="7" width="22" hidden="0" customWidth="1"/>
    <x:col min="8" max="8" width="30" hidden="0" customWidth="1"/>
    <x:col min="9" max="9" width="42" hidden="0" customWidth="1"/>
  </x:cols>
  <x:sheetData>
    <x:row r="1" ht="26" customHeight="1">
      <x:c r="A1" s="3" t="str">
        <x:v>Tech Stack</x:v>
      </x:c>
      <x:c r="B1" s="3"/>
      <x:c r="C1" s="3"/>
      <x:c r="D1" s="3"/>
      <x:c r="E1" s="3"/>
      <x:c r="F1" s="3"/>
      <x:c r="G1" s="3"/>
      <x:c r="H1" s="3"/>
      <x:c r="I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7" t="str">
        <x:v>Locked recommended-only stack for the MVP. No provider abstractions or fallback implementations.</x:v>
      </x:c>
      <x:c r="B3" s="7"/>
      <x:c r="C3" s="7"/>
      <x:c r="D3" s="7"/>
      <x:c r="E3" s="7"/>
      <x:c r="F3" s="7"/>
      <x:c r="G3" s="7"/>
      <x:c r="H3" s="7"/>
      <x:c r="I3" s="7"/>
    </x:row>
    <x:row r="5" ht="28" customHeight="1">
      <x:c r="A5" s="51" t="str">
        <x:v>Layer</x:v>
      </x:c>
      <x:c r="B5" s="51" t="str">
        <x:v>Concern</x:v>
      </x:c>
      <x:c r="C5" s="51" t="str">
        <x:v>Recommendation</x:v>
      </x:c>
      <x:c r="D5" s="51" t="str">
        <x:v>License / pricing posture</x:v>
      </x:c>
      <x:c r="E5" s="51" t="str">
        <x:v>Role</x:v>
      </x:c>
      <x:c r="F5" s="51" t="str">
        <x:v>Why for MVP</x:v>
      </x:c>
      <x:c r="G5" s="51" t="str">
        <x:v>Fallback policy</x:v>
      </x:c>
      <x:c r="H5" s="51" t="str">
        <x:v>Implementation rule</x:v>
      </x:c>
      <x:c r="I5" s="51" t="str">
        <x:v>Primary source</x:v>
      </x:c>
    </x:row>
    <x:row r="6" ht="54" customHeight="1">
      <x:c r="A6" s="55" t="str">
        <x:v>Mobile</x:v>
      </x:c>
      <x:c r="B6" s="55" t="str">
        <x:v>UI/runtime</x:v>
      </x:c>
      <x:c r="C6" s="55" t="str">
        <x:v>Expo SDK 57 + React Native + TypeScript</x:v>
      </x:c>
      <x:c r="D6" s="55" t="str">
        <x:v>OSS</x:v>
      </x:c>
      <x:c r="E6" s="55" t="str">
        <x:v>Cross-platform shell</x:v>
      </x:c>
      <x:c r="F6" s="55" t="str">
        <x:v>Fast product iteration with native build targets</x:v>
      </x:c>
      <x:c r="G6" s="55" t="str">
        <x:v>No fallback</x:v>
      </x:c>
      <x:c r="H6" s="55" t="str">
        <x:v>Use named component only</x:v>
      </x:c>
      <x:c r="I6" s="55" t="str">
        <x:v>https://docs.expo.dev/versions/v57.0.0/</x:v>
      </x:c>
    </x:row>
    <x:row r="7" ht="54" customHeight="1">
      <x:c r="A7" s="56" t="str">
        <x:v>Mobile</x:v>
      </x:c>
      <x:c r="B7" s="56" t="str">
        <x:v>Navigation</x:v>
      </x:c>
      <x:c r="C7" s="56" t="str">
        <x:v>Expo Router</x:v>
      </x:c>
      <x:c r="D7" s="56" t="str">
        <x:v>OSS</x:v>
      </x:c>
      <x:c r="E7" s="56" t="str">
        <x:v>Typed file-based routes</x:v>
      </x:c>
      <x:c r="F7" s="56" t="str">
        <x:v>First-party Expo path</x:v>
      </x:c>
      <x:c r="G7" s="56" t="str">
        <x:v>No fallback</x:v>
      </x:c>
      <x:c r="H7" s="56" t="str">
        <x:v>Use named component only</x:v>
      </x:c>
      <x:c r="I7" s="56" t="str">
        <x:v>https://docs.expo.dev/router/introduction/</x:v>
      </x:c>
    </x:row>
    <x:row r="8" ht="54" customHeight="1">
      <x:c r="A8" s="55" t="str">
        <x:v>Mobile</x:v>
      </x:c>
      <x:c r="B8" s="55" t="str">
        <x:v>Native modules</x:v>
      </x:c>
      <x:c r="C8" s="55" t="str">
        <x:v>Expo Modules API</x:v>
      </x:c>
      <x:c r="D8" s="55" t="str">
        <x:v>OSS</x:v>
      </x:c>
      <x:c r="E8" s="55" t="str">
        <x:v>Swift/Kotlin bridge</x:v>
      </x:c>
      <x:c r="F8" s="55" t="str">
        <x:v>Modern languages, low boilerplate, New Architecture support</x:v>
      </x:c>
      <x:c r="G8" s="55" t="str">
        <x:v>No fallback</x:v>
      </x:c>
      <x:c r="H8" s="55" t="str">
        <x:v>Use named component only</x:v>
      </x:c>
      <x:c r="I8" s="55" t="str">
        <x:v>https://docs.expo.dev/modules/overview/</x:v>
      </x:c>
    </x:row>
    <x:row r="9" ht="54" customHeight="1">
      <x:c r="A9" s="56" t="str">
        <x:v>Mobile</x:v>
      </x:c>
      <x:c r="B9" s="56" t="str">
        <x:v>Native integration</x:v>
      </x:c>
      <x:c r="C9" s="56" t="str">
        <x:v>Local Expo module + config plugin</x:v>
      </x:c>
      <x:c r="D9" s="56" t="str">
        <x:v>OSS</x:v>
      </x:c>
      <x:c r="E9" s="56" t="str">
        <x:v>Install Swift/Kotlin capabilities into generated projects</x:v>
      </x:c>
      <x:c r="F9" s="56" t="str">
        <x:v>Keeps native configuration reproducible</x:v>
      </x:c>
      <x:c r="G9" s="56" t="str">
        <x:v>No fallback</x:v>
      </x:c>
      <x:c r="H9" s="56" t="str">
        <x:v>Use named component only</x:v>
      </x:c>
      <x:c r="I9" s="56" t="str">
        <x:v>https://docs.expo.dev/modules/get-started/</x:v>
      </x:c>
    </x:row>
    <x:row r="10" ht="54" customHeight="1">
      <x:c r="A10" s="55" t="str">
        <x:v>Mobile</x:v>
      </x:c>
      <x:c r="B10" s="55" t="str">
        <x:v>Server state</x:v>
      </x:c>
      <x:c r="C10" s="55" t="str">
        <x:v>TanStack Query</x:v>
      </x:c>
      <x:c r="D10" s="55" t="str">
        <x:v>OSS</x:v>
      </x:c>
      <x:c r="E10" s="55" t="str">
        <x:v>API cache and foreground sync</x:v>
      </x:c>
      <x:c r="F10" s="55" t="str">
        <x:v>Reconnect/focus primitives; not a transfer queue</x:v>
      </x:c>
      <x:c r="G10" s="55" t="str">
        <x:v>No fallback</x:v>
      </x:c>
      <x:c r="H10" s="55" t="str">
        <x:v>Use named component only</x:v>
      </x:c>
      <x:c r="I10" s="55" t="str">
        <x:v>https://tanstack.com/query/latest/docs/framework/react/react-native</x:v>
      </x:c>
    </x:row>
    <x:row r="11" ht="54" customHeight="1">
      <x:c r="A11" s="56" t="str">
        <x:v>Mobile</x:v>
      </x:c>
      <x:c r="B11" s="56" t="str">
        <x:v>Transient UI state</x:v>
      </x:c>
      <x:c r="C11" s="56" t="str">
        <x:v>Zustand</x:v>
      </x:c>
      <x:c r="D11" s="56" t="str">
        <x:v>OSS</x:v>
      </x:c>
      <x:c r="E11" s="56" t="str">
        <x:v>Filters, banners, selection</x:v>
      </x:c>
      <x:c r="F11" s="56" t="str">
        <x:v>Tiny and predictable</x:v>
      </x:c>
      <x:c r="G11" s="56" t="str">
        <x:v>No fallback</x:v>
      </x:c>
      <x:c r="H11" s="56" t="str">
        <x:v>Use named component only</x:v>
      </x:c>
      <x:c r="I11" s="56" t="str">
        <x:v>https://zustand.docs.pmnd.rs/</x:v>
      </x:c>
    </x:row>
    <x:row r="12" ht="54" customHeight="1">
      <x:c r="A12" s="55" t="str">
        <x:v>Mobile</x:v>
      </x:c>
      <x:c r="B12" s="55" t="str">
        <x:v>Media grids</x:v>
      </x:c>
      <x:c r="C12" s="55" t="str">
        <x:v>Shopify FlashList</x:v>
      </x:c>
      <x:c r="D12" s="55" t="str">
        <x:v>OSS</x:v>
      </x:c>
      <x:c r="E12" s="55" t="str">
        <x:v>Efficient large lists</x:v>
      </x:c>
      <x:c r="F12" s="55" t="str">
        <x:v>Better memory/scroll behavior</x:v>
      </x:c>
      <x:c r="G12" s="55" t="str">
        <x:v>No fallback</x:v>
      </x:c>
      <x:c r="H12" s="55" t="str">
        <x:v>Use named component only</x:v>
      </x:c>
      <x:c r="I12" s="55" t="str">
        <x:v>https://docs.expo.dev/versions/latest/sdk/flash-list/</x:v>
      </x:c>
    </x:row>
    <x:row r="13" ht="54" customHeight="1">
      <x:c r="A13" s="56" t="str">
        <x:v>iOS</x:v>
      </x:c>
      <x:c r="B13" s="56" t="str">
        <x:v>Job database</x:v>
      </x:c>
      <x:c r="C13" s="56" t="str">
        <x:v>GRDB.swift</x:v>
      </x:c>
      <x:c r="D13" s="56" t="str">
        <x:v>MIT</x:v>
      </x:c>
      <x:c r="E13" s="56" t="str">
        <x:v>Native SQLite/outbox</x:v>
      </x:c>
      <x:c r="F13" s="56" t="str">
        <x:v>Transactions, migrations, observation</x:v>
      </x:c>
      <x:c r="G13" s="56" t="str">
        <x:v>No fallback</x:v>
      </x:c>
      <x:c r="H13" s="56" t="str">
        <x:v>Use named component only</x:v>
      </x:c>
      <x:c r="I13" s="56" t="str">
        <x:v>https://github.com/groue/GRDB.swift</x:v>
      </x:c>
    </x:row>
    <x:row r="14" ht="54" customHeight="1">
      <x:c r="A14" s="55" t="str">
        <x:v>iOS</x:v>
      </x:c>
      <x:c r="B14" s="55" t="str">
        <x:v>Discovery + transfer</x:v>
      </x:c>
      <x:c r="C14" s="55" t="str">
        <x:v>PhotoKit persistent changes + background URLSession</x:v>
      </x:c>
      <x:c r="D14" s="55" t="str">
        <x:v>Platform</x:v>
      </x:c>
      <x:c r="E14" s="55" t="str">
        <x:v>Reconcile, encrypt locally, upload ciphertext</x:v>
      </x:c>
      <x:c r="F14" s="55" t="str">
        <x:v>Preserves E2EE transformation and durable transfer</x:v>
      </x:c>
      <x:c r="G14" s="55" t="str">
        <x:v>No fallback</x:v>
      </x:c>
      <x:c r="H14" s="55" t="str">
        <x:v>Use named component only</x:v>
      </x:c>
      <x:c r="I14" s="55" t="str">
        <x:v>https://developer.apple.com/documentation/photos/phphotolibrary/fetchpersistentchanges(since:)</x:v>
      </x:c>
    </x:row>
    <x:row r="15" ht="54" customHeight="1">
      <x:c r="A15" s="56" t="str">
        <x:v>Android</x:v>
      </x:c>
      <x:c r="B15" s="56" t="str">
        <x:v>Job database</x:v>
      </x:c>
      <x:c r="C15" s="56" t="str">
        <x:v>Room</x:v>
      </x:c>
      <x:c r="D15" s="56" t="str">
        <x:v>AndroidX</x:v>
      </x:c>
      <x:c r="E15" s="56" t="str">
        <x:v>Native SQLite/outbox</x:v>
      </x:c>
      <x:c r="F15" s="56" t="str">
        <x:v>Compile-time query checks and migrations</x:v>
      </x:c>
      <x:c r="G15" s="56" t="str">
        <x:v>No fallback</x:v>
      </x:c>
      <x:c r="H15" s="56" t="str">
        <x:v>Use named component only</x:v>
      </x:c>
      <x:c r="I15" s="56" t="str">
        <x:v>https://developer.android.com/training/data-storage/room</x:v>
      </x:c>
    </x:row>
    <x:row r="16" ht="54" customHeight="1">
      <x:c r="A16" s="55" t="str">
        <x:v>Android</x:v>
      </x:c>
      <x:c r="B16" s="55" t="str">
        <x:v>Durable work</x:v>
      </x:c>
      <x:c r="C16" s="55" t="str">
        <x:v>WorkManager + TriggerContentUri</x:v>
      </x:c>
      <x:c r="D16" s="55" t="str">
        <x:v>AndroidX</x:v>
      </x:c>
      <x:c r="E16" s="55" t="str">
        <x:v>Change wakeup, retry, constraints</x:v>
      </x:c>
      <x:c r="F16" s="55" t="str">
        <x:v>Recommended Android persistent work</x:v>
      </x:c>
      <x:c r="G16" s="55" t="str">
        <x:v>No fallback</x:v>
      </x:c>
      <x:c r="H16" s="55" t="str">
        <x:v>Use named component only</x:v>
      </x:c>
      <x:c r="I16" s="55" t="str">
        <x:v>https://developer.android.com/develop/background-work/background-tasks/persistent</x:v>
      </x:c>
    </x:row>
    <x:row r="17" ht="54" customHeight="1">
      <x:c r="A17" s="56" t="str">
        <x:v>Android</x:v>
      </x:c>
      <x:c r="B17" s="56" t="str">
        <x:v>HTTP</x:v>
      </x:c>
      <x:c r="C17" s="56" t="str">
        <x:v>OkHttp</x:v>
      </x:c>
      <x:c r="D17" s="56" t="str">
        <x:v>Apache 2.0</x:v>
      </x:c>
      <x:c r="E17" s="56" t="str">
        <x:v>Direct upload/download</x:v>
      </x:c>
      <x:c r="F17" s="56" t="str">
        <x:v>Pooling, HTTP/2, TLS, resilient networking</x:v>
      </x:c>
      <x:c r="G17" s="56" t="str">
        <x:v>No fallback</x:v>
      </x:c>
      <x:c r="H17" s="56" t="str">
        <x:v>Use named component only</x:v>
      </x:c>
      <x:c r="I17" s="56" t="str">
        <x:v>https://square.github.io/okhttp/</x:v>
      </x:c>
    </x:row>
    <x:row r="18" ht="54" customHeight="1">
      <x:c r="A18" s="55" t="str">
        <x:v>Crypto</x:v>
      </x:c>
      <x:c r="B18" s="55" t="str">
        <x:v>File encryption</x:v>
      </x:c>
      <x:c r="C18" s="55" t="str">
        <x:v>libsodium secretstream XChaCha20-Poly1305</x:v>
      </x:c>
      <x:c r="D18" s="55" t="str">
        <x:v>ISC</x:v>
      </x:c>
      <x:c r="E18" s="55" t="str">
        <x:v>Bounded-memory authenticated streams</x:v>
      </x:c>
      <x:c r="F18" s="55" t="str">
        <x:v>Same protocol on iOS/Android; detects reorder/truncation</x:v>
      </x:c>
      <x:c r="G18" s="55" t="str">
        <x:v>No fallback</x:v>
      </x:c>
      <x:c r="H18" s="55" t="str">
        <x:v>Use named component only</x:v>
      </x:c>
      <x:c r="I18" s="55" t="str">
        <x:v>https://doc.libsodium.org/secret-key_cryptography/secretstream</x:v>
      </x:c>
    </x:row>
    <x:row r="19" ht="54" customHeight="1">
      <x:c r="A19" s="56" t="str">
        <x:v>Backend</x:v>
      </x:c>
      <x:c r="B19" s="56" t="str">
        <x:v>API</x:v>
      </x:c>
      <x:c r="C19" s="56" t="str">
        <x:v>Fastify + TypeBox</x:v>
      </x:c>
      <x:c r="D19" s="56" t="str">
        <x:v>MIT</x:v>
      </x:c>
      <x:c r="E19" s="56" t="str">
        <x:v>Schema-first HTTP/API</x:v>
      </x:c>
      <x:c r="F19" s="56" t="str">
        <x:v>Low overhead and OpenAPI-friendly</x:v>
      </x:c>
      <x:c r="G19" s="56" t="str">
        <x:v>No fallback</x:v>
      </x:c>
      <x:c r="H19" s="56" t="str">
        <x:v>Use named component only</x:v>
      </x:c>
      <x:c r="I19" s="56" t="str">
        <x:v>https://fastify.dev/docs/latest/</x:v>
      </x:c>
    </x:row>
    <x:row r="20" ht="54" customHeight="1">
      <x:c r="A20" s="55" t="str">
        <x:v>Backend</x:v>
      </x:c>
      <x:c r="B20" s="55" t="str">
        <x:v>Database</x:v>
      </x:c>
      <x:c r="C20" s="55" t="str">
        <x:v>Managed PostgreSQL + Kysely</x:v>
      </x:c>
      <x:c r="D20" s="55" t="str">
        <x:v>OSS + paid infra</x:v>
      </x:c>
      <x:c r="E20" s="55" t="str">
        <x:v>Trips, inbox, receipts, outbox</x:v>
      </x:c>
      <x:c r="F20" s="55" t="str">
        <x:v>Relational invariants and explicit typed SQL</x:v>
      </x:c>
      <x:c r="G20" s="55" t="str">
        <x:v>No fallback</x:v>
      </x:c>
      <x:c r="H20" s="55" t="str">
        <x:v>Use named component only</x:v>
      </x:c>
      <x:c r="I20" s="55" t="str">
        <x:v>https://kysely.dev/</x:v>
      </x:c>
    </x:row>
    <x:row r="21" ht="54" customHeight="1">
      <x:c r="A21" s="56" t="str">
        <x:v>Backend</x:v>
      </x:c>
      <x:c r="B21" s="56" t="str">
        <x:v>Jobs/schedule</x:v>
      </x:c>
      <x:c r="C21" s="56" t="str">
        <x:v>pg-boss</x:v>
      </x:c>
      <x:c r="D21" s="56" t="str">
        <x:v>MIT</x:v>
      </x:c>
      <x:c r="E21" s="56" t="str">
        <x:v>Retries, cron, dead-letter, release gate</x:v>
      </x:c>
      <x:c r="F21" s="56" t="str">
        <x:v>Transactional enqueue with no Redis/Kafka</x:v>
      </x:c>
      <x:c r="G21" s="56" t="str">
        <x:v>No fallback</x:v>
      </x:c>
      <x:c r="H21" s="56" t="str">
        <x:v>Use named component only</x:v>
      </x:c>
      <x:c r="I21" s="56" t="str">
        <x:v>https://pgboss.io/</x:v>
      </x:c>
    </x:row>
    <x:row r="22" ht="54" customHeight="1">
      <x:c r="A22" s="55" t="str">
        <x:v>Storage</x:v>
      </x:c>
      <x:c r="B22" s="55" t="str">
        <x:v>MVP object store</x:v>
      </x:c>
      <x:c r="C22" s="55" t="str">
        <x:v>AWS S3</x:v>
      </x:c>
      <x:c r="D22" s="55" t="str">
        <x:v>Usage paid</x:v>
      </x:c>
      <x:c r="E22" s="55" t="str">
        <x:v>Temporary encrypted previews/originals</x:v>
      </x:c>
      <x:c r="F22" s="55" t="str">
        <x:v>Multipart, checksums, signed URL, lifecycle baseline</x:v>
      </x:c>
      <x:c r="G22" s="55" t="str">
        <x:v>No fallback</x:v>
      </x:c>
      <x:c r="H22" s="55" t="str">
        <x:v>Use named component only</x:v>
      </x:c>
      <x:c r="I22" s="55" t="str">
        <x:v>https://aws.amazon.com/s3/pricing/</x:v>
      </x:c>
    </x:row>
    <x:row r="23" ht="54" customHeight="1">
      <x:c r="A23" s="56" t="str">
        <x:v>Auth</x:v>
      </x:c>
      <x:c r="B23" s="56" t="str">
        <x:v>MVP auth</x:v>
      </x:c>
      <x:c r="C23" s="56" t="str">
        <x:v>Clerk</x:v>
      </x:c>
      <x:c r="D23" s="56" t="str">
        <x:v>Free Hobby; Pro $25/mo as reviewed</x:v>
      </x:c>
      <x:c r="E23" s="56" t="str">
        <x:v>Apple/Google identity</x:v>
      </x:c>
      <x:c r="F23" s="56" t="str">
        <x:v>Expo-native guides; 50k MRU included at reviewed pricing</x:v>
      </x:c>
      <x:c r="G23" s="56" t="str">
        <x:v>No fallback</x:v>
      </x:c>
      <x:c r="H23" s="56" t="str">
        <x:v>Use named component only</x:v>
      </x:c>
      <x:c r="I23" s="56" t="str">
        <x:v>https://clerk.com/pricing</x:v>
      </x:c>
    </x:row>
    <x:row r="24" ht="54" customHeight="1">
      <x:c r="A24" s="55" t="str">
        <x:v>Push</x:v>
      </x:c>
      <x:c r="B24" s="55" t="str">
        <x:v>Wake-up hints</x:v>
      </x:c>
      <x:c r="C24" s="55" t="str">
        <x:v>Direct FCM/APNs via Firebase Admin</x:v>
      </x:c>
      <x:c r="D24" s="55" t="str">
        <x:v>Usage-based/free core</x:v>
      </x:c>
      <x:c r="E24" s="55" t="str">
        <x:v>Notify app to sync inbox</x:v>
      </x:c>
      <x:c r="F24" s="55" t="str">
        <x:v>Avoids making notification vendor the queue</x:v>
      </x:c>
      <x:c r="G24" s="55" t="str">
        <x:v>No fallback</x:v>
      </x:c>
      <x:c r="H24" s="55" t="str">
        <x:v>Use named component only</x:v>
      </x:c>
      <x:c r="I24" s="55" t="str">
        <x:v>https://firebase.google.com/docs/cloud-messaging/ios/receive</x:v>
      </x:c>
    </x:row>
    <x:row r="25" ht="54" customHeight="1">
      <x:c r="A25" s="56" t="str">
        <x:v>Observability</x:v>
      </x:c>
      <x:c r="B25" s="56" t="str">
        <x:v>Errors/performance</x:v>
      </x:c>
      <x:c r="C25" s="56" t="str">
        <x:v>Sentry React Native</x:v>
      </x:c>
      <x:c r="D25" s="56" t="str">
        <x:v>Free solo; Team $26/mo as reviewed</x:v>
      </x:c>
      <x:c r="E25" s="56" t="str">
        <x:v>JS/native crash and trace correlation</x:v>
      </x:c>
      <x:c r="F25" s="56" t="str">
        <x:v>Strong React Native support</x:v>
      </x:c>
      <x:c r="G25" s="56" t="str">
        <x:v>No fallback</x:v>
      </x:c>
      <x:c r="H25" s="56" t="str">
        <x:v>Use named component only</x:v>
      </x:c>
      <x:c r="I25" s="56" t="str">
        <x:v>https://sentry.io/pricing/</x:v>
      </x:c>
    </x:row>
    <x:row r="26" ht="54" customHeight="1">
      <x:c r="A26" s="55" t="str">
        <x:v>Analytics</x:v>
      </x:c>
      <x:c r="B26" s="55" t="str">
        <x:v>Product events</x:v>
      </x:c>
      <x:c r="C26" s="55" t="str">
        <x:v>PostHog</x:v>
      </x:c>
      <x:c r="D26" s="55" t="str">
        <x:v>1M events/mo free as reviewed</x:v>
      </x:c>
      <x:c r="E26" s="55" t="str">
        <x:v>Latency/reconciliation funnels</x:v>
      </x:c>
      <x:c r="F26" s="55" t="str">
        <x:v>Event allowlist and generous starting tier</x:v>
      </x:c>
      <x:c r="G26" s="55" t="str">
        <x:v>No fallback</x:v>
      </x:c>
      <x:c r="H26" s="55" t="str">
        <x:v>Use named component only</x:v>
      </x:c>
      <x:c r="I26" s="55" t="str">
        <x:v>https://posthog.com/product-analytics/pricing</x:v>
      </x:c>
    </x:row>
    <x:row r="27" ht="54" customHeight="1">
      <x:c r="A27" s="56" t="str">
        <x:v>Testing</x:v>
      </x:c>
      <x:c r="B27" s="56" t="str">
        <x:v>Device E2E</x:v>
      </x:c>
      <x:c r="C27" s="56" t="str">
        <x:v>Maestro + XCTest/Espresso</x:v>
      </x:c>
      <x:c r="D27" s="56" t="str">
        <x:v>OSS + optional cloud</x:v>
      </x:c>
      <x:c r="E27" s="56" t="str">
        <x:v>Cross-platform journey plus native engine tests</x:v>
      </x:c>
      <x:c r="F27" s="56" t="str">
        <x:v>Maestro is Expo/EAS ready; native tests cover background internals</x:v>
      </x:c>
      <x:c r="G27" s="56" t="str">
        <x:v>No fallback</x:v>
      </x:c>
      <x:c r="H27" s="56" t="str">
        <x:v>Use named component only</x:v>
      </x:c>
      <x:c r="I27" s="56" t="str">
        <x:v>https://docs.maestro.dev/get-started/supported-platform/react-native</x:v>
      </x:c>
    </x:row>
    <x:row r="28" ht="54" customHeight="1">
      <x:c r="A28" s="55" t="str">
        <x:v>Infrastructure</x:v>
      </x:c>
      <x:c r="B28" s="55" t="str">
        <x:v>Provisioning</x:v>
      </x:c>
      <x:c r="C28" s="55" t="str">
        <x:v>Terraform</x:v>
      </x:c>
      <x:c r="D28" s="55" t="str">
        <x:v>MPL 2.0 + paid options</x:v>
      </x:c>
      <x:c r="E28" s="55" t="str">
        <x:v>IAM, bucket lifecycle, DB, services</x:v>
      </x:c>
      <x:c r="F28" s="55" t="str">
        <x:v>Auditable/repeatable environments</x:v>
      </x:c>
      <x:c r="G28" s="55" t="str">
        <x:v>No fallback</x:v>
      </x:c>
      <x:c r="H28" s="55" t="str">
        <x:v>Use named component only</x:v>
      </x:c>
      <x:c r="I28" s="55" t="str">
        <x:v>https://developer.hashicorp.com/terraform/docs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18" hidden="0" customWidth="1"/>
    <x:col min="5" max="5" width="26" hidden="0" customWidth="1"/>
    <x:col min="6" max="6" width="36" hidden="0" customWidth="1"/>
    <x:col min="7" max="7" width="32" hidden="0" customWidth="1"/>
    <x:col min="8" max="8" width="28" hidden="0" customWidth="1"/>
  </x:cols>
  <x:sheetData>
    <x:row r="1" ht="26" customHeight="1">
      <x:c r="A1" s="3" t="str">
        <x:v>Data &amp; Interfaces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7" t="str">
        <x:v>Minimal relational model and contract surface. Media bytes never pass through these endpoints.</x:v>
      </x:c>
      <x:c r="B3" s="7"/>
      <x:c r="C3" s="7"/>
      <x:c r="D3" s="7"/>
      <x:c r="E3" s="7"/>
      <x:c r="F3" s="7"/>
      <x:c r="G3" s="7"/>
      <x:c r="H3" s="7"/>
    </x:row>
    <x:row r="5" ht="22" customHeight="1">
      <x:c r="A5" s="10" t="str">
        <x:v>Core entities and invariants</x:v>
      </x:c>
      <x:c r="B5" s="10"/>
      <x:c r="C5" s="10"/>
      <x:c r="D5" s="10"/>
      <x:c r="E5" s="10"/>
      <x:c r="F5" s="10"/>
      <x:c r="G5" s="10"/>
      <x:c r="H5" s="10"/>
    </x:row>
    <x:row r="6" ht="28" customHeight="1">
      <x:c r="A6" s="51" t="str">
        <x:v>Entity</x:v>
      </x:c>
      <x:c r="B6" s="51" t="str">
        <x:v>Purpose</x:v>
      </x:c>
      <x:c r="C6" s="51" t="str">
        <x:v>Primary key / uniqueness</x:v>
      </x:c>
      <x:c r="D6" s="51" t="str">
        <x:v>Critical fields</x:v>
      </x:c>
      <x:c r="E6" s="51" t="str">
        <x:v>State</x:v>
      </x:c>
      <x:c r="F6" s="51" t="str">
        <x:v>Retention</x:v>
      </x:c>
      <x:c r="G6" s="51" t="str">
        <x:v>Writer</x:v>
      </x:c>
      <x:c r="H6" s="51" t="str">
        <x:v>Key invariant</x:v>
      </x:c>
    </x:row>
    <x:row r="7" ht="50" customHeight="1">
      <x:c r="A7" s="55" t="str">
        <x:v>users</x:v>
      </x:c>
      <x:c r="B7" s="55" t="str">
        <x:v>Product identity</x:v>
      </x:c>
      <x:c r="C7" s="55" t="str">
        <x:v>id; unique auth_subject</x:v>
      </x:c>
      <x:c r="D7" s="55" t="str">
        <x:v>auth_subject, created_at</x:v>
      </x:c>
      <x:c r="E7" s="55" t="str">
        <x:v>active/revoked</x:v>
      </x:c>
      <x:c r="F7" s="55" t="str">
        <x:v>Account lifetime</x:v>
      </x:c>
      <x:c r="G7" s="55" t="str">
        <x:v>Auth adapter</x:v>
      </x:c>
      <x:c r="H7" s="55" t="str">
        <x:v>No provider ID leaks into domain FKs</x:v>
      </x:c>
    </x:row>
    <x:row r="8" ht="50" customHeight="1">
      <x:c r="A8" s="56" t="str">
        <x:v>devices</x:v>
      </x:c>
      <x:c r="B8" s="56" t="str">
        <x:v>Crypto/push/receipt endpoint</x:v>
      </x:c>
      <x:c r="C8" s="56" t="str">
        <x:v>id; identity key unique</x:v>
      </x:c>
      <x:c r="D8" s="56" t="str">
        <x:v>platform, push token, public key, last_seen</x:v>
      </x:c>
      <x:c r="E8" s="56" t="str">
        <x:v>active/revoked</x:v>
      </x:c>
      <x:c r="F8" s="56" t="str">
        <x:v>Account lifetime</x:v>
      </x:c>
      <x:c r="G8" s="56" t="str">
        <x:v>Device registration</x:v>
      </x:c>
      <x:c r="H8" s="56" t="str">
        <x:v>Private key never leaves device</x:v>
      </x:c>
    </x:row>
    <x:row r="9" ht="50" customHeight="1">
      <x:c r="A9" s="55" t="str">
        <x:v>trips</x:v>
      </x:c>
      <x:c r="B9" s="55" t="str">
        <x:v>Sharing boundary</x:v>
      </x:c>
      <x:c r="C9" s="55" t="str">
        <x:v>id</x:v>
      </x:c>
      <x:c r="D9" s="55" t="str">
        <x:v>owner, name, release_at, ends_at, TTL</x:v>
      </x:c>
      <x:c r="E9" s="55" t="str">
        <x:v>LOBBY→ACTIVE→ENDING→COMPLETE</x:v>
      </x:c>
      <x:c r="F9" s="55" t="str">
        <x:v>Metadata policy</x:v>
      </x:c>
      <x:c r="G9" s="55" t="str">
        <x:v>Trip service</x:v>
      </x:c>
      <x:c r="H9" s="55" t="str">
        <x:v>One active trip per user</x:v>
      </x:c>
    </x:row>
    <x:row r="10" ht="50" customHeight="1">
      <x:c r="A10" s="56" t="str">
        <x:v>trip_members</x:v>
      </x:c>
      <x:c r="B10" s="56" t="str">
        <x:v>Authorized recipient set</x:v>
      </x:c>
      <x:c r="C10" s="56" t="str">
        <x:v>trip_id + user_id</x:v>
      </x:c>
      <x:c r="D10" s="56" t="str">
        <x:v>role, joined_at, key_epoch</x:v>
      </x:c>
      <x:c r="E10" s="56" t="str">
        <x:v>active/left</x:v>
      </x:c>
      <x:c r="F10" s="56" t="str">
        <x:v>Trip lifetime</x:v>
      </x:c>
      <x:c r="G10" s="56" t="str">
        <x:v>Membership service</x:v>
      </x:c>
      <x:c r="H10" s="56" t="str">
        <x:v>Max 10 in locked join transaction</x:v>
      </x:c>
    </x:row>
    <x:row r="11" ht="50" customHeight="1">
      <x:c r="A11" s="55" t="str">
        <x:v>trip_key_envelopes</x:v>
      </x:c>
      <x:c r="B11" s="55" t="str">
        <x:v>Device access to epoch keys</x:v>
      </x:c>
      <x:c r="C11" s="55" t="str">
        <x:v>trip + epoch + device</x:v>
      </x:c>
      <x:c r="D11" s="55" t="str">
        <x:v>wrapped_key</x:v>
      </x:c>
      <x:c r="E11" s="55" t="str">
        <x:v>current/historical</x:v>
      </x:c>
      <x:c r="F11" s="55" t="str">
        <x:v>Until trip cleanup</x:v>
      </x:c>
      <x:c r="G11" s="55" t="str">
        <x:v>Key service</x:v>
      </x:c>
      <x:c r="H11" s="55" t="str">
        <x:v>Server cannot unwrap</x:v>
      </x:c>
    </x:row>
    <x:row r="12" ht="50" customHeight="1">
      <x:c r="A12" s="56" t="str">
        <x:v>assets</x:v>
      </x:c>
      <x:c r="B12" s="56" t="str">
        <x:v>Committed opaque manifest</x:v>
      </x:c>
      <x:c r="C12" s="56" t="str">
        <x:v>id; source idempotency unique</x:v>
      </x:c>
      <x:c r="D12" s="56" t="str">
        <x:v>encrypted manifest, key/encryption version</x:v>
      </x:c>
      <x:c r="E12" s="56" t="str">
        <x:v>COMMITTED/PURGE_PENDING/PURGED</x:v>
      </x:c>
      <x:c r="F12" s="56" t="str">
        <x:v>Metadata policy</x:v>
      </x:c>
      <x:c r="G12" s="56" t="str">
        <x:v>Asset service</x:v>
      </x:c>
      <x:c r="H12" s="56" t="str">
        <x:v>Plaintext hash/MIME/dimensions stay encrypted</x:v>
      </x:c>
    </x:row>
    <x:row r="13" ht="50" customHeight="1">
      <x:c r="A13" s="55" t="str">
        <x:v>asset_objects</x:v>
      </x:c>
      <x:c r="B13" s="55" t="str">
        <x:v>Temporary ciphertext locator</x:v>
      </x:c>
      <x:c r="C13" s="55" t="str">
        <x:v>asset + variant</x:v>
      </x:c>
      <x:c r="D13" s="55" t="str">
        <x:v>object key, cipher hash, expiry</x:v>
      </x:c>
      <x:c r="E13" s="55" t="str">
        <x:v>UPLOADED/PURGED</x:v>
      </x:c>
      <x:c r="F13" s="55" t="str">
        <x:v>All-ack or TTL</x:v>
      </x:c>
      <x:c r="G13" s="55" t="str">
        <x:v>Upload service</x:v>
      </x:c>
      <x:c r="H13" s="55" t="str">
        <x:v>Signed scope is one operation/object</x:v>
      </x:c>
    </x:row>
    <x:row r="14" ht="50" customHeight="1">
      <x:c r="A14" s="56" t="str">
        <x:v>deliveries</x:v>
      </x:c>
      <x:c r="B14" s="56" t="str">
        <x:v>One intended recipient cell</x:v>
      </x:c>
      <x:c r="C14" s="56" t="str">
        <x:v>asset + recipient device</x:v>
      </x:c>
      <x:c r="D14" s="56" t="str">
        <x:v>state, available_at, saved_at, error</x:v>
      </x:c>
      <x:c r="E14" s="56" t="str">
        <x:v>HELD→READY→SAVED</x:v>
      </x:c>
      <x:c r="F14" s="56" t="str">
        <x:v>Audit policy</x:v>
      </x:c>
      <x:c r="G14" s="56" t="str">
        <x:v>Delivery service</x:v>
      </x:c>
      <x:c r="H14" s="56" t="str">
        <x:v>Transitions are monotonic</x:v>
      </x:c>
    </x:row>
    <x:row r="15" ht="50" customHeight="1">
      <x:c r="A15" s="55" t="str">
        <x:v>inbox_events</x:v>
      </x:c>
      <x:c r="B15" s="55" t="str">
        <x:v>Recipient change log</x:v>
      </x:c>
      <x:c r="C15" s="55" t="str">
        <x:v>global sequence + recipient index</x:v>
      </x:c>
      <x:c r="D15" s="55" t="str">
        <x:v>event type, aggregate, available_at</x:v>
      </x:c>
      <x:c r="E15" s="55" t="str">
        <x:v>ready/consumed</x:v>
      </x:c>
      <x:c r="F15" s="55" t="str">
        <x:v>Cursor horizon</x:v>
      </x:c>
      <x:c r="G15" s="55" t="str">
        <x:v>Outbox worker</x:v>
      </x:c>
      <x:c r="H15" s="55" t="str">
        <x:v>Cursor replay is deterministic</x:v>
      </x:c>
    </x:row>
    <x:row r="16" ht="50" customHeight="1">
      <x:c r="A16" s="56" t="str">
        <x:v>receipts</x:v>
      </x:c>
      <x:c r="B16" s="56" t="str">
        <x:v>Proof of local milestone</x:v>
      </x:c>
      <x:c r="C16" s="56" t="str">
        <x:v>delivery + type + idempotency</x:v>
      </x:c>
      <x:c r="D16" s="56" t="str">
        <x:v>device time, server time</x:v>
      </x:c>
      <x:c r="E16" s="56" t="str">
        <x:v>accepted</x:v>
      </x:c>
      <x:c r="F16" s="56" t="str">
        <x:v>Audit policy</x:v>
      </x:c>
      <x:c r="G16" s="56" t="str">
        <x:v>Receipt API</x:v>
      </x:c>
      <x:c r="H16" s="56" t="str">
        <x:v>SAVED only after system-library save</x:v>
      </x:c>
    </x:row>
    <x:row r="17" ht="50" customHeight="1">
      <x:c r="A17" s="55" t="str">
        <x:v>audit_events</x:v>
      </x:c>
      <x:c r="B17" s="55" t="str">
        <x:v>Security/cleanup/repair trail</x:v>
      </x:c>
      <x:c r="C17" s="55" t="str">
        <x:v>id</x:v>
      </x:c>
      <x:c r="D17" s="55" t="str">
        <x:v>actor, type, opaque metadata</x:v>
      </x:c>
      <x:c r="E17" s="55" t="str">
        <x:v>immutable</x:v>
      </x:c>
      <x:c r="F17" s="55" t="str">
        <x:v>Defined policy</x:v>
      </x:c>
      <x:c r="G17" s="55" t="str">
        <x:v>All modules</x:v>
      </x:c>
      <x:c r="H17" s="55" t="str">
        <x:v>No keys, filenames, or media hashes</x:v>
      </x:c>
    </x:row>
    <x:row r="19" ht="22" customHeight="1">
      <x:c r="A19" s="10" t="str">
        <x:v>Minimal API contracts</x:v>
      </x:c>
      <x:c r="B19" s="10"/>
      <x:c r="C19" s="10"/>
      <x:c r="D19" s="10"/>
      <x:c r="E19" s="10"/>
      <x:c r="F19" s="10"/>
      <x:c r="G19" s="10"/>
      <x:c r="H19" s="10"/>
    </x:row>
    <x:row r="20" ht="28" customHeight="1">
      <x:c r="A20" s="51" t="str">
        <x:v>Method</x:v>
      </x:c>
      <x:c r="B20" s="51" t="str">
        <x:v>Path</x:v>
      </x:c>
      <x:c r="C20" s="51" t="str">
        <x:v>Purpose</x:v>
      </x:c>
      <x:c r="D20" s="51" t="str">
        <x:v>Idempotency</x:v>
      </x:c>
      <x:c r="E20" s="51" t="str">
        <x:v>Authorization</x:v>
      </x:c>
      <x:c r="F20" s="51" t="str">
        <x:v>Input highlights</x:v>
      </x:c>
      <x:c r="G20" s="51" t="str">
        <x:v>Output highlights</x:v>
      </x:c>
      <x:c r="H20" s="51" t="str">
        <x:v>Never contains</x:v>
      </x:c>
    </x:row>
    <x:row r="21" ht="50" customHeight="1">
      <x:c r="A21" s="55" t="str">
        <x:v>POST</x:v>
      </x:c>
      <x:c r="B21" s="55" t="str">
        <x:v>/trips</x:v>
      </x:c>
      <x:c r="C21" s="55" t="str">
        <x:v>Create lobby</x:v>
      </x:c>
      <x:c r="D21" s="55" t="str">
        <x:v>Required</x:v>
      </x:c>
      <x:c r="E21" s="55" t="str">
        <x:v>Authenticated user</x:v>
      </x:c>
      <x:c r="F21" s="55" t="str">
        <x:v>name, release mode</x:v>
      </x:c>
      <x:c r="G21" s="55" t="str">
        <x:v>trip, invite token</x:v>
      </x:c>
      <x:c r="H21" s="55" t="str">
        <x:v>Media key/plaintext</x:v>
      </x:c>
    </x:row>
    <x:row r="22" ht="50" customHeight="1">
      <x:c r="A22" s="56" t="str">
        <x:v>POST</x:v>
      </x:c>
      <x:c r="B22" s="56" t="str">
        <x:v>/trips/join-requests</x:v>
      </x:c>
      <x:c r="C22" s="56" t="str">
        <x:v>Atomic pending membership</x:v>
      </x:c>
      <x:c r="D22" s="56" t="str">
        <x:v>Required</x:v>
      </x:c>
      <x:c r="E22" s="56" t="str">
        <x:v>Invite + user/device</x:v>
      </x:c>
      <x:c r="F22" s="56" t="str">
        <x:v>invite token, participating device</x:v>
      </x:c>
      <x:c r="G22" s="56" t="str">
        <x:v>pending membership</x:v>
      </x:c>
      <x:c r="H22" s="56" t="str">
        <x:v>Trip epoch plaintext</x:v>
      </x:c>
    </x:row>
    <x:row r="23" ht="50" customHeight="1">
      <x:c r="A23" s="55" t="str">
        <x:v>POST</x:v>
      </x:c>
      <x:c r="B23" s="55" t="str">
        <x:v>/trips/:id/start</x:v>
      </x:c>
      <x:c r="C23" s="55" t="str">
        <x:v>Freeze initial recipients</x:v>
      </x:c>
      <x:c r="D23" s="55" t="str">
        <x:v>Required</x:v>
      </x:c>
      <x:c r="E23" s="55" t="str">
        <x:v>Owner</x:v>
      </x:c>
      <x:c r="F23" s="55" t="str">
        <x:v>expected membership version</x:v>
      </x:c>
      <x:c r="G23" s="55" t="str">
        <x:v>active trip version</x:v>
      </x:c>
      <x:c r="H23" s="55" t="str">
        <x:v>Media bytes</x:v>
      </x:c>
    </x:row>
    <x:row r="24" ht="50" customHeight="1">
      <x:c r="A24" s="56" t="str">
        <x:v>POST</x:v>
      </x:c>
      <x:c r="B24" s="56" t="str">
        <x:v>/assets/upload-sessions</x:v>
      </x:c>
      <x:c r="C24" s="56" t="str">
        <x:v>Issue write-once signed upload</x:v>
      </x:c>
      <x:c r="D24" s="56" t="str">
        <x:v>Required</x:v>
      </x:c>
      <x:c r="E24" s="56" t="str">
        <x:v>Frozen source device</x:v>
      </x:c>
      <x:c r="F24" s="56" t="str">
        <x:v>encrypted manifest, cipher bytes/checksums</x:v>
      </x:c>
      <x:c r="G24" s="56" t="str">
        <x:v>scoped PUT URLs, expiry</x:v>
      </x:c>
      <x:c r="H24" s="56" t="str">
        <x:v>Plaintext metadata</x:v>
      </x:c>
    </x:row>
    <x:row r="25" ht="50" customHeight="1">
      <x:c r="A25" s="55" t="str">
        <x:v>POST</x:v>
      </x:c>
      <x:c r="B25" s="55" t="str">
        <x:v>/assets/:id/commit</x:v>
      </x:c>
      <x:c r="C25" s="55" t="str">
        <x:v>Atomic manifest + deliveries + outbox</x:v>
      </x:c>
      <x:c r="D25" s="55" t="str">
        <x:v>Required</x:v>
      </x:c>
      <x:c r="E25" s="55" t="str">
        <x:v>Frozen source device</x:v>
      </x:c>
      <x:c r="F25" s="55" t="str">
        <x:v>upload session ID</x:v>
      </x:c>
      <x:c r="G25" s="55" t="str">
        <x:v>asset ID, delivery count</x:v>
      </x:c>
      <x:c r="H25" s="55" t="str">
        <x:v>Cipher key/plaintext hash</x:v>
      </x:c>
    </x:row>
    <x:row r="26" ht="50" customHeight="1">
      <x:c r="A26" s="56" t="str">
        <x:v>GET</x:v>
      </x:c>
      <x:c r="B26" s="56" t="str">
        <x:v>/sync?cursor=</x:v>
      </x:c>
      <x:c r="C26" s="56" t="str">
        <x:v>Ordered durable recipient inbox</x:v>
      </x:c>
      <x:c r="D26" s="56" t="str">
        <x:v>Cursor replay</x:v>
      </x:c>
      <x:c r="E26" s="56" t="str">
        <x:v>Registered device</x:v>
      </x:c>
      <x:c r="F26" s="56" t="str">
        <x:v>cursor, bounded limit</x:v>
      </x:c>
      <x:c r="G26" s="56" t="str">
        <x:v>events, next cursor</x:v>
      </x:c>
      <x:c r="H26" s="56" t="str">
        <x:v>Other recipient data</x:v>
      </x:c>
    </x:row>
    <x:row r="27" ht="50" customHeight="1">
      <x:c r="A27" s="55" t="str">
        <x:v>POST</x:v>
      </x:c>
      <x:c r="B27" s="55" t="str">
        <x:v>/deliveries/:id/download-session</x:v>
      </x:c>
      <x:c r="C27" s="55" t="str">
        <x:v>Issue scoped signed GET</x:v>
      </x:c>
      <x:c r="D27" s="55" t="str">
        <x:v>Required</x:v>
      </x:c>
      <x:c r="E27" s="55" t="str">
        <x:v>Intended recipient device</x:v>
      </x:c>
      <x:c r="F27" s="55" t="str">
        <x:v>variant</x:v>
      </x:c>
      <x:c r="G27" s="55" t="str">
        <x:v>URL, expected hashes/bytes</x:v>
      </x:c>
      <x:c r="H27" s="55" t="str">
        <x:v>Plaintext</x:v>
      </x:c>
    </x:row>
    <x:row r="28" ht="50" customHeight="1">
      <x:c r="A28" s="56" t="str">
        <x:v>PUT</x:v>
      </x:c>
      <x:c r="B28" s="56" t="str">
        <x:v>/deliveries/:id/saved-receipt</x:v>
      </x:c>
      <x:c r="C28" s="56" t="str">
        <x:v>Prove exact local save</x:v>
      </x:c>
      <x:c r="D28" s="56" t="str">
        <x:v>Required</x:v>
      </x:c>
      <x:c r="E28" s="56" t="str">
        <x:v>Participating recipient device</x:v>
      </x:c>
      <x:c r="F28" s="56" t="str">
        <x:v>client event ID, saved time</x:v>
      </x:c>
      <x:c r="G28" s="56" t="str">
        <x:v>accepted SAVED_LOCALLY</x:v>
      </x:c>
      <x:c r="H28" s="56" t="str">
        <x:v>Library filename/hash</x:v>
      </x:c>
    </x:row>
    <x:row r="29" ht="50" customHeight="1">
      <x:c r="A29" s="55" t="str">
        <x:v>GET</x:v>
      </x:c>
      <x:c r="B29" s="55" t="str">
        <x:v>/trips/:id/reconciliation</x:v>
      </x:c>
      <x:c r="C29" s="55" t="str">
        <x:v>Asset × recipient truth matrix</x:v>
      </x:c>
      <x:c r="D29" s="55" t="str">
        <x:v>Read</x:v>
      </x:c>
      <x:c r="E29" s="55" t="str">
        <x:v>Trip member</x:v>
      </x:c>
      <x:c r="F29" s="55" t="str">
        <x:v>pagination/filter</x:v>
      </x:c>
      <x:c r="G29" s="55" t="str">
        <x:v>counts and blockers</x:v>
      </x:c>
      <x:c r="H29" s="55" t="str">
        <x:v>Media URLs</x:v>
      </x:c>
    </x:row>
  </x:sheetData>
  <x:mergeCells>
    <x:mergeCell ref="A1:H2"/>
    <x:mergeCell ref="A3:H3"/>
    <x:mergeCell ref="A5:H5"/>
    <x:mergeCell ref="A19:H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34" hidden="0" customWidth="1"/>
    <x:col min="4" max="4" width="26" hidden="0" customWidth="1"/>
    <x:col min="5" max="5" width="32" hidden="0" customWidth="1"/>
    <x:col min="6" max="6" width="26" hidden="0" customWidth="1"/>
    <x:col min="7" max="7" width="28" hidden="0" customWidth="1"/>
    <x:col min="8" max="8" width="34" hidden="0" customWidth="1"/>
  </x:cols>
  <x:sheetData>
    <x:row r="1" ht="26" customHeight="1">
      <x:c r="A1" s="3" t="str">
        <x:v>State Machines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7" t="str">
        <x:v>Progress is monotonic and repairable. Retry timing, pause, attempts, and blockers are orthogonal persisted fields.</x:v>
      </x:c>
      <x:c r="B3" s="7"/>
      <x:c r="C3" s="7"/>
      <x:c r="D3" s="7"/>
      <x:c r="E3" s="7"/>
      <x:c r="F3" s="7"/>
      <x:c r="G3" s="7"/>
      <x:c r="H3" s="7"/>
    </x:row>
    <x:row r="5" ht="22" customHeight="1">
      <x:c r="A5" s="10" t="str">
        <x:v>Trip state</x:v>
      </x:c>
      <x:c r="B5" s="10"/>
      <x:c r="C5" s="10"/>
      <x:c r="D5" s="10"/>
      <x:c r="E5" s="10"/>
      <x:c r="F5" s="10"/>
      <x:c r="G5" s="10"/>
      <x:c r="H5" s="10"/>
    </x:row>
    <x:row r="6" ht="28" customHeight="1">
      <x:c r="A6" s="51" t="str">
        <x:v>From</x:v>
      </x:c>
      <x:c r="B6" s="51" t="str">
        <x:v>Event</x:v>
      </x:c>
      <x:c r="C6" s="51" t="str">
        <x:v>Guard</x:v>
      </x:c>
      <x:c r="D6" s="51" t="str">
        <x:v>To</x:v>
      </x:c>
      <x:c r="E6" s="51" t="str">
        <x:v>Side effect</x:v>
      </x:c>
      <x:c r="F6" s="51" t="str">
        <x:v>Recoverable?</x:v>
      </x:c>
      <x:c r="G6" s="51" t="str">
        <x:v>User sees</x:v>
      </x:c>
      <x:c r="H6" s="51" t="str">
        <x:v>Completion relevance</x:v>
      </x:c>
    </x:row>
    <x:row r="7" ht="44" customHeight="1">
      <x:c r="A7" s="55" t="str">
        <x:v>LOBBY</x:v>
      </x:c>
      <x:c r="B7" s="55" t="str">
        <x:v>start</x:v>
      </x:c>
      <x:c r="C7" s="55" t="str">
        <x:v>Owner; 2–10 members; keys ready</x:v>
      </x:c>
      <x:c r="D7" s="55" t="str">
        <x:v>ACTIVE</x:v>
      </x:c>
      <x:c r="E7" s="55" t="str">
        <x:v>Freeze initial recipient set</x:v>
      </x:c>
      <x:c r="F7" s="55" t="str">
        <x:v>Yes before media</x:v>
      </x:c>
      <x:c r="G7" s="55" t="str">
        <x:v>Trip live</x:v>
      </x:c>
      <x:c r="H7" s="55" t="str">
        <x:v>Captures now eligible</x:v>
      </x:c>
    </x:row>
    <x:row r="8" ht="44" customHeight="1">
      <x:c r="A8" s="56" t="str">
        <x:v>ACTIVE</x:v>
      </x:c>
      <x:c r="B8" s="56" t="str">
        <x:v>end requested</x:v>
      </x:c>
      <x:c r="C8" s="56" t="str">
        <x:v>Owner</x:v>
      </x:c>
      <x:c r="D8" s="56" t="str">
        <x:v>ENDING</x:v>
      </x:c>
      <x:c r="E8" s="56" t="str">
        <x:v>Run full reconciliation</x:v>
      </x:c>
      <x:c r="F8" s="56" t="str">
        <x:v>Yes</x:v>
      </x:c>
      <x:c r="G8" s="56" t="str">
        <x:v>Checking every device</x:v>
      </x:c>
      <x:c r="H8" s="56" t="str">
        <x:v>Cannot skip gaps</x:v>
      </x:c>
    </x:row>
    <x:row r="9" ht="44" customHeight="1">
      <x:c r="A9" s="55" t="str">
        <x:v>ENDING</x:v>
      </x:c>
      <x:c r="B9" s="55" t="str">
        <x:v>all required saved</x:v>
      </x:c>
      <x:c r="C9" s="55" t="str">
        <x:v>Zero missing cells</x:v>
      </x:c>
      <x:c r="D9" s="55" t="str">
        <x:v>COMPLETE</x:v>
      </x:c>
      <x:c r="E9" s="55" t="str">
        <x:v>Purge remaining ciphertext</x:v>
      </x:c>
      <x:c r="F9" s="55" t="str">
        <x:v>Terminal</x:v>
      </x:c>
      <x:c r="G9" s="55" t="str">
        <x:v>Everyone has everything</x:v>
      </x:c>
      <x:c r="H9" s="55" t="str">
        <x:v>Success</x:v>
      </x:c>
    </x:row>
    <x:row r="10" ht="44" customHeight="1">
      <x:c r="A10" s="56" t="str">
        <x:v>ACTIVE/ENDING</x:v>
      </x:c>
      <x:c r="B10" s="56" t="str">
        <x:v>hard TTL reached</x:v>
      </x:c>
      <x:c r="C10" s="56" t="str">
        <x:v>Missing cells remain</x:v>
      </x:c>
      <x:c r="D10" s="56" t="str">
        <x:v>INCOMPLETE_EXPIRED</x:v>
      </x:c>
      <x:c r="E10" s="56" t="str">
        <x:v>Purge ciphertext + audit gaps</x:v>
      </x:c>
      <x:c r="F10" s="56" t="str">
        <x:v>Terminal</x:v>
      </x:c>
      <x:c r="G10" s="56" t="str">
        <x:v>Exact unresolved gaps</x:v>
      </x:c>
      <x:c r="H10" s="56" t="str">
        <x:v>Never success</x:v>
      </x:c>
    </x:row>
    <x:row r="12" ht="22" customHeight="1">
      <x:c r="A12" s="10" t="str">
        <x:v>Source asset job</x:v>
      </x:c>
      <x:c r="B12" s="10"/>
      <x:c r="C12" s="10"/>
      <x:c r="D12" s="10"/>
      <x:c r="E12" s="10"/>
      <x:c r="F12" s="10"/>
      <x:c r="G12" s="10"/>
      <x:c r="H12" s="10"/>
    </x:row>
    <x:row r="13" ht="28" customHeight="1">
      <x:c r="A13" s="51" t="str">
        <x:v>From</x:v>
      </x:c>
      <x:c r="B13" s="51" t="str">
        <x:v>Event</x:v>
      </x:c>
      <x:c r="C13" s="51" t="str">
        <x:v>Guard</x:v>
      </x:c>
      <x:c r="D13" s="51" t="str">
        <x:v>To</x:v>
      </x:c>
      <x:c r="E13" s="51" t="str">
        <x:v>Persist</x:v>
      </x:c>
      <x:c r="F13" s="51" t="str">
        <x:v>Retry lane</x:v>
      </x:c>
      <x:c r="G13" s="51" t="str">
        <x:v>Terminal failure</x:v>
      </x:c>
      <x:c r="H13" s="51" t="str">
        <x:v>Repair</x:v>
      </x:c>
    </x:row>
    <x:row r="14" ht="46" customHeight="1">
      <x:c r="A14" s="55" t="str">
        <x:v>DISCOVERED</x:v>
      </x:c>
      <x:c r="B14" s="55" t="str">
        <x:v>preview created</x:v>
      </x:c>
      <x:c r="C14" s="55" t="str">
        <x:v>Source readable</x:v>
      </x:c>
      <x:c r="D14" s="55" t="str">
        <x:v>PREVIEW_READY</x:v>
      </x:c>
      <x:c r="E14" s="55" t="str">
        <x:v>Preview path/hash</x:v>
      </x:c>
      <x:c r="F14" s="55" t="str">
        <x:v>High</x:v>
      </x:c>
      <x:c r="G14" s="55" t="str">
        <x:v>SOURCE_MISSING</x:v>
      </x:c>
      <x:c r="H14" s="55" t="str">
        <x:v>Reconcile library</x:v>
      </x:c>
    </x:row>
    <x:row r="15" ht="46" customHeight="1">
      <x:c r="A15" s="56" t="str">
        <x:v>PREVIEW_READY</x:v>
      </x:c>
      <x:c r="B15" s="56" t="str">
        <x:v>preview PUT verified</x:v>
      </x:c>
      <x:c r="C15" s="56" t="str">
        <x:v>Signed session valid</x:v>
      </x:c>
      <x:c r="D15" s="56" t="str">
        <x:v>PREVIEW_UPLOADED</x:v>
      </x:c>
      <x:c r="E15" s="56" t="str">
        <x:v>Object ref/cipher hash</x:v>
      </x:c>
      <x:c r="F15" s="56" t="str">
        <x:v>High</x:v>
      </x:c>
      <x:c r="G15" s="56" t="str">
        <x:v>BLOCKED_PERMISSION</x:v>
      </x:c>
      <x:c r="H15" s="56" t="str">
        <x:v>Refresh permission/session</x:v>
      </x:c>
    </x:row>
    <x:row r="16" ht="46" customHeight="1">
      <x:c r="A16" s="55" t="str">
        <x:v>PREVIEW_UPLOADED</x:v>
      </x:c>
      <x:c r="B16" s="55" t="str">
        <x:v>original stream starts</x:v>
      </x:c>
      <x:c r="C16" s="55" t="str">
        <x:v>Policy/network permits</x:v>
      </x:c>
      <x:c r="D16" s="55" t="str">
        <x:v>ORIGINAL_UPLOADING</x:v>
      </x:c>
      <x:c r="E16" s="55" t="str">
        <x:v>Cipher staging ledger</x:v>
      </x:c>
      <x:c r="F16" s="55" t="str">
        <x:v>Normal</x:v>
      </x:c>
      <x:c r="G16" s="55" t="str">
        <x:v>BLOCKED_STORAGE</x:v>
      </x:c>
      <x:c r="H16" s="55" t="str">
        <x:v>Free staging space</x:v>
      </x:c>
    </x:row>
    <x:row r="17" ht="46" customHeight="1">
      <x:c r="A17" s="56" t="str">
        <x:v>ORIGINAL_UPLOADING</x:v>
      </x:c>
      <x:c r="B17" s="56" t="str">
        <x:v>all parts verified</x:v>
      </x:c>
      <x:c r="C17" s="56" t="str">
        <x:v>Cipher bytes/hash match</x:v>
      </x:c>
      <x:c r="D17" s="56" t="str">
        <x:v>ORIGINAL_UPLOADED</x:v>
      </x:c>
      <x:c r="E17" s="56" t="str">
        <x:v>Completed object</x:v>
      </x:c>
      <x:c r="F17" s="56" t="str">
        <x:v>Normal</x:v>
      </x:c>
      <x:c r="G17" s="56" t="str">
        <x:v>CORRUPT_SOURCE</x:v>
      </x:c>
      <x:c r="H17" s="56" t="str">
        <x:v>Restart encryption</x:v>
      </x:c>
    </x:row>
    <x:row r="18" ht="46" customHeight="1">
      <x:c r="A18" s="55" t="str">
        <x:v>ORIGINAL_UPLOADED</x:v>
      </x:c>
      <x:c r="B18" s="55" t="str">
        <x:v>manifest committed</x:v>
      </x:c>
      <x:c r="C18" s="55" t="str">
        <x:v>Frozen membership/version accepted</x:v>
      </x:c>
      <x:c r="D18" s="55" t="str">
        <x:v>COMMITTED</x:v>
      </x:c>
      <x:c r="E18" s="55" t="str">
        <x:v>Server asset ID</x:v>
      </x:c>
      <x:c r="F18" s="55" t="str">
        <x:v>Command</x:v>
      </x:c>
      <x:c r="G18" s="55" t="str">
        <x:v>SESSION_EXPIRED</x:v>
      </x:c>
      <x:c r="H18" s="55" t="str">
        <x:v>Refresh session and retry</x:v>
      </x:c>
    </x:row>
    <x:row r="19" ht="46" customHeight="1">
      <x:c r="A19" s="56" t="str">
        <x:v>Current progress stage</x:v>
      </x:c>
      <x:c r="B19" s="56" t="str">
        <x:v>transient failure</x:v>
      </x:c>
      <x:c r="C19" s="56" t="str">
        <x:v>Retry policy permits</x:v>
      </x:c>
      <x:c r="D19" s="56" t="str">
        <x:v>Same progress stage</x:v>
      </x:c>
      <x:c r="E19" s="56" t="str">
        <x:v>Blocker/attempt/next attempt</x:v>
      </x:c>
      <x:c r="F19" s="56" t="str">
        <x:v>Jittered</x:v>
      </x:c>
      <x:c r="G19" s="56" t="str">
        <x:v>Terminal blocker only after policy</x:v>
      </x:c>
      <x:c r="H19" s="56" t="str">
        <x:v>Automatic retry or named action</x:v>
      </x:c>
    </x:row>
    <x:row r="21" ht="22" customHeight="1">
      <x:c r="A21" s="10" t="str">
        <x:v>Recipient delivery</x:v>
      </x:c>
      <x:c r="B21" s="10"/>
      <x:c r="C21" s="10"/>
      <x:c r="D21" s="10"/>
      <x:c r="E21" s="10"/>
      <x:c r="F21" s="10"/>
      <x:c r="G21" s="10"/>
      <x:c r="H21" s="10"/>
    </x:row>
    <x:row r="22" ht="28" customHeight="1">
      <x:c r="A22" s="51" t="str">
        <x:v>From</x:v>
      </x:c>
      <x:c r="B22" s="51" t="str">
        <x:v>Event</x:v>
      </x:c>
      <x:c r="C22" s="51" t="str">
        <x:v>Guard</x:v>
      </x:c>
      <x:c r="D22" s="51" t="str">
        <x:v>To</x:v>
      </x:c>
      <x:c r="E22" s="51" t="str">
        <x:v>Persist</x:v>
      </x:c>
      <x:c r="F22" s="51" t="str">
        <x:v>Receipt</x:v>
      </x:c>
      <x:c r="G22" s="51" t="str">
        <x:v>Blocker</x:v>
      </x:c>
      <x:c r="H22" s="51" t="str">
        <x:v>Repair</x:v>
      </x:c>
    </x:row>
    <x:row r="23" ht="46" customHeight="1">
      <x:c r="A23" s="55" t="str">
        <x:v>HELD</x:v>
      </x:c>
      <x:c r="B23" s="55" t="str">
        <x:v>release_at</x:v>
      </x:c>
      <x:c r="C23" s="55" t="str">
        <x:v>Trip active; not expired</x:v>
      </x:c>
      <x:c r="D23" s="55" t="str">
        <x:v>READY</x:v>
      </x:c>
      <x:c r="E23" s="55" t="str">
        <x:v>Inbox event sequence</x:v>
      </x:c>
      <x:c r="F23" s="55" t="str">
        <x:v>None</x:v>
      </x:c>
      <x:c r="G23" s="55" t="str">
        <x:v>None</x:v>
      </x:c>
      <x:c r="H23" s="55" t="str">
        <x:v>Worker replay</x:v>
      </x:c>
    </x:row>
    <x:row r="24" ht="46" customHeight="1">
      <x:c r="A24" s="56" t="str">
        <x:v>READY</x:v>
      </x:c>
      <x:c r="B24" s="56" t="str">
        <x:v>preview saved</x:v>
      </x:c>
      <x:c r="C24" s="56" t="str">
        <x:v>Preview authenticated</x:v>
      </x:c>
      <x:c r="D24" s="56" t="str">
        <x:v>PREVIEW_SAVED</x:v>
      </x:c>
      <x:c r="E24" s="56" t="str">
        <x:v>Preview local path</x:v>
      </x:c>
      <x:c r="F24" s="56" t="str">
        <x:v>Optional preview receipt</x:v>
      </x:c>
      <x:c r="G24" s="56" t="str">
        <x:v>Storage/network</x:v>
      </x:c>
      <x:c r="H24" s="56" t="str">
        <x:v>Retry</x:v>
      </x:c>
    </x:row>
    <x:row r="25" ht="46" customHeight="1">
      <x:c r="A25" s="55" t="str">
        <x:v>PREVIEW_SAVED</x:v>
      </x:c>
      <x:c r="B25" s="55" t="str">
        <x:v>original starts</x:v>
      </x:c>
      <x:c r="C25" s="55" t="str">
        <x:v>Policy permits</x:v>
      </x:c>
      <x:c r="D25" s="55" t="str">
        <x:v>ORIGINAL_DOWNLOADING</x:v>
      </x:c>
      <x:c r="E25" s="55" t="str">
        <x:v>Part/range ledger</x:v>
      </x:c>
      <x:c r="F25" s="55" t="str">
        <x:v>None</x:v>
      </x:c>
      <x:c r="G25" s="55" t="str">
        <x:v>Storage/network</x:v>
      </x:c>
      <x:c r="H25" s="55" t="str">
        <x:v>Retry missing parts</x:v>
      </x:c>
    </x:row>
    <x:row r="26" ht="46" customHeight="1">
      <x:c r="A26" s="56" t="str">
        <x:v>ORIGINAL_DOWNLOADING</x:v>
      </x:c>
      <x:c r="B26" s="56" t="str">
        <x:v>decrypt/hash valid</x:v>
      </x:c>
      <x:c r="C26" s="56" t="str">
        <x:v>All stream tags valid</x:v>
      </x:c>
      <x:c r="D26" s="56" t="str">
        <x:v>VERIFIED</x:v>
      </x:c>
      <x:c r="E26" s="56" t="str">
        <x:v>Plaintext hash</x:v>
      </x:c>
      <x:c r="F26" s="56" t="str">
        <x:v>VERIFIED</x:v>
      </x:c>
      <x:c r="G26" s="56" t="str">
        <x:v>Corrupt ciphertext</x:v>
      </x:c>
      <x:c r="H26" s="56" t="str">
        <x:v>Redownload</x:v>
      </x:c>
    </x:row>
    <x:row r="27" ht="46" customHeight="1">
      <x:c r="A27" s="55" t="str">
        <x:v>VERIFIED</x:v>
      </x:c>
      <x:c r="B27" s="55" t="str">
        <x:v>system save returns ID</x:v>
      </x:c>
      <x:c r="C27" s="55" t="str">
        <x:v>Permission + free storage</x:v>
      </x:c>
      <x:c r="D27" s="55" t="str">
        <x:v>SAVED_LOCALLY</x:v>
      </x:c>
      <x:c r="E27" s="55" t="str">
        <x:v>Unique saved_asset row</x:v>
      </x:c>
      <x:c r="F27" s="55" t="str">
        <x:v>SAVED_LOCALLY</x:v>
      </x:c>
      <x:c r="G27" s="55" t="str">
        <x:v>Permission/storage</x:v>
      </x:c>
      <x:c r="H27" s="55" t="str">
        <x:v>User action then retry</x:v>
      </x:c>
    </x:row>
  </x:sheetData>
  <x:mergeCells>
    <x:mergeCell ref="A1:H2"/>
    <x:mergeCell ref="A3:H3"/>
    <x:mergeCell ref="A5:H5"/>
    <x:mergeCell ref="A12:H12"/>
    <x:mergeCell ref="A21:H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5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6" customHeight="1">
      <x:c r="A1" s="3" t="str">
        <x:v>Scale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0" customHeight="1">
      <x:c r="A3" s="7" t="str">
        <x:v>Blue cells are editable assumptions; all derived capacity and cost cells are formulas. Bandwidth, not coordination, is the primary scale driver.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22" customHeight="1">
      <x:c r="A5" s="10" t="str">
        <x:v>Editable planning assumptions</x:v>
      </x:c>
      <x:c r="B5" s="10"/>
      <x:c r="C5" s="10"/>
      <x:c r="D5" s="10"/>
      <x:c r="E5" s="10"/>
      <x:c r="F5" s="10"/>
    </x:row>
    <x:row r="6">
      <x:c r="A6" s="74" t="str">
        <x:v>Assumption</x:v>
      </x:c>
      <x:c r="B6" s="74" t="str">
        <x:v>Value</x:v>
      </x:c>
      <x:c r="C6" s="74" t="str">
        <x:v>Unit</x:v>
      </x:c>
      <x:c r="D6" s="74" t="str">
        <x:v>Planning note</x:v>
      </x:c>
    </x:row>
    <x:row r="7" ht="30" customHeight="1">
      <x:c r="A7" s="55" t="str">
        <x:v>Registered users</x:v>
      </x:c>
      <x:c r="B7" s="62" t="n">
        <x:v>5000</x:v>
      </x:c>
      <x:c r="C7" s="55" t="str">
        <x:v>users</x:v>
      </x:c>
      <x:c r="D7" s="55" t="str">
        <x:v>Requested scale target</x:v>
      </x:c>
    </x:row>
    <x:row r="8" ht="30" customHeight="1">
      <x:c r="A8" s="55" t="str">
        <x:v>Simultaneously active share</x:v>
      </x:c>
      <x:c r="B8" s="75" t="n">
        <x:v>0.2</x:v>
      </x:c>
      <x:c r="C8" s="55" t="str">
        <x:v>%</x:v>
      </x:c>
      <x:c r="D8" s="55" t="str">
        <x:v>Planning case; scenario table varies this</x:v>
      </x:c>
    </x:row>
    <x:row r="9" ht="30" customHeight="1">
      <x:c r="A9" s="55" t="str">
        <x:v>Members per trip</x:v>
      </x:c>
      <x:c r="B9" s="62" t="n">
        <x:v>10</x:v>
      </x:c>
      <x:c r="C9" s="55" t="str">
        <x:v>members</x:v>
      </x:c>
      <x:c r="D9" s="55" t="str">
        <x:v>MVP maximum</x:v>
      </x:c>
    </x:row>
    <x:row r="10" ht="30" customHeight="1">
      <x:c r="A10" s="55" t="str">
        <x:v>Photos per active user/day</x:v>
      </x:c>
      <x:c r="B10" s="62" t="n">
        <x:v>25</x:v>
      </x:c>
      <x:c r="C10" s="55" t="str">
        <x:v>photos</x:v>
      </x:c>
      <x:c r="D10" s="55" t="str">
        <x:v>Editable behavioral input</x:v>
      </x:c>
    </x:row>
    <x:row r="11" ht="30" customHeight="1">
      <x:c r="A11" s="55" t="str">
        <x:v>MVP videos per active user/day</x:v>
      </x:c>
      <x:c r="B11" s="62" t="n">
        <x:v>0</x:v>
      </x:c>
      <x:c r="C11" s="55" t="str">
        <x:v>videos</x:v>
      </x:c>
      <x:c r="D11" s="55" t="str">
        <x:v>Video is excluded from the MVP</x:v>
      </x:c>
    </x:row>
    <x:row r="12" ht="30" customHeight="1">
      <x:c r="A12" s="55" t="str">
        <x:v>Average photo original</x:v>
      </x:c>
      <x:c r="B12" s="62" t="n">
        <x:v>5</x:v>
      </x:c>
      <x:c r="C12" s="55" t="str">
        <x:v>MB</x:v>
      </x:c>
      <x:c r="D12" s="55" t="str">
        <x:v>Exact original, encrypted overhead excluded</x:v>
      </x:c>
    </x:row>
    <x:row r="13" ht="30" customHeight="1">
      <x:c r="A13" s="55" t="str">
        <x:v>Reserved video original</x:v>
      </x:c>
      <x:c r="B13" s="62" t="n">
        <x:v>0</x:v>
      </x:c>
      <x:c r="C13" s="55" t="str">
        <x:v>MB</x:v>
      </x:c>
      <x:c r="D13" s="55" t="str">
        <x:v>Unused because video is excluded from MVP</x:v>
      </x:c>
    </x:row>
    <x:row r="14" ht="30" customHeight="1">
      <x:c r="A14" s="55" t="str">
        <x:v>Average preview</x:v>
      </x:c>
      <x:c r="B14" s="62" t="n">
        <x:v>0.2</x:v>
      </x:c>
      <x:c r="C14" s="55" t="str">
        <x:v>MB</x:v>
      </x:c>
      <x:c r="D14" s="55" t="str">
        <x:v>Fast lane</x:v>
      </x:c>
    </x:row>
    <x:row r="15" ht="30" customHeight="1">
      <x:c r="A15" s="55" t="str">
        <x:v>Average retention</x:v>
      </x:c>
      <x:c r="B15" s="62" t="n">
        <x:v>2</x:v>
      </x:c>
      <x:c r="C15" s="55" t="str">
        <x:v>days</x:v>
      </x:c>
      <x:c r="D15" s="55" t="str">
        <x:v>All-ack cleanup should keep this low</x:v>
      </x:c>
    </x:row>
    <x:row r="16" ht="30" customHeight="1">
      <x:c r="A16" s="55" t="str">
        <x:v>Hard TTL</x:v>
      </x:c>
      <x:c r="B16" s="62" t="n">
        <x:v>7</x:v>
      </x:c>
      <x:c r="C16" s="55" t="str">
        <x:v>days</x:v>
      </x:c>
      <x:c r="D16" s="55" t="str">
        <x:v>Backstop after trip end</x:v>
      </x:c>
    </x:row>
    <x:row r="17" ht="30" customHeight="1">
      <x:c r="A17" s="55" t="str">
        <x:v>Reference internet egress</x:v>
      </x:c>
      <x:c r="B17" s="76" t="n">
        <x:v>0.09</x:v>
      </x:c>
      <x:c r="C17" s="55" t="str">
        <x:v>$/GB</x:v>
      </x:c>
      <x:c r="D17" s="55" t="str">
        <x:v>Illustrative editable rate; actual provider/region/tier differs</x:v>
      </x:c>
    </x:row>
    <x:row r="19" ht="22" customHeight="1">
      <x:c r="A19" s="10" t="str">
        <x:v>Formula-driven planning outputs</x:v>
      </x:c>
      <x:c r="B19" s="10"/>
      <x:c r="C19" s="10"/>
      <x:c r="D19" s="10"/>
      <x:c r="E19" s="10"/>
      <x:c r="F19" s="10"/>
    </x:row>
    <x:row r="20">
      <x:c r="A20" s="74" t="str">
        <x:v>Output</x:v>
      </x:c>
      <x:c r="B20" s="74" t="str">
        <x:v>Value</x:v>
      </x:c>
      <x:c r="C20" s="74" t="str">
        <x:v>Unit</x:v>
      </x:c>
      <x:c r="D20" s="74" t="str">
        <x:v>Interpretation</x:v>
      </x:c>
      <x:c r="F20" s="107" t="str">
        <x:v>Interpretation: at 20% concurrency the coordination tier handles roughly 100 trips, but the object plane serves terabytes/day because one source upload fans out to nine recipients. Optimize previews and egress before splitting the backend into services.</x:v>
      </x:c>
      <x:c r="G20" s="108"/>
      <x:c r="H20" s="108"/>
      <x:c r="I20" s="108"/>
      <x:c r="J20" s="108"/>
      <x:c r="K20" s="108"/>
      <x:c r="L20" s="108"/>
      <x:c r="M20" s="108"/>
      <x:c r="N20" s="109"/>
    </x:row>
    <x:row r="21" ht="27" customHeight="1">
      <x:c r="A21" s="54" t="str">
        <x:v>Active users</x:v>
      </x:c>
      <x:c r="B21" s="79" t="n">
        <x:f>B7*B8</x:f>
        <x:v>1000</x:v>
      </x:c>
      <x:c r="C21" s="54" t="str">
        <x:v>devices</x:v>
      </x:c>
      <x:c r="D21" s="54" t="str">
        <x:v>Registered users × active share</x:v>
      </x:c>
      <x:c r="F21" s="110"/>
      <x:c r="G21" s="111"/>
      <x:c r="H21" s="111"/>
      <x:c r="I21" s="111"/>
      <x:c r="J21" s="111"/>
      <x:c r="K21" s="111"/>
      <x:c r="L21" s="111"/>
      <x:c r="M21" s="111"/>
      <x:c r="N21" s="112"/>
    </x:row>
    <x:row r="22" ht="27" customHeight="1">
      <x:c r="A22" s="54" t="str">
        <x:v>Concurrent active trips</x:v>
      </x:c>
      <x:c r="B22" s="79" t="n">
        <x:f>B21/B9</x:f>
        <x:v>100</x:v>
      </x:c>
      <x:c r="C22" s="54" t="str">
        <x:v>trips</x:v>
      </x:c>
      <x:c r="D22" s="54" t="str">
        <x:v>Active users ÷ members/trip</x:v>
      </x:c>
      <x:c r="F22" s="110"/>
      <x:c r="G22" s="111"/>
      <x:c r="H22" s="111"/>
      <x:c r="I22" s="111"/>
      <x:c r="J22" s="111"/>
      <x:c r="K22" s="111"/>
      <x:c r="L22" s="111"/>
      <x:c r="M22" s="111"/>
      <x:c r="N22" s="112"/>
    </x:row>
    <x:row r="23" ht="27" customHeight="1">
      <x:c r="A23" s="54" t="str">
        <x:v>Source assets/day</x:v>
      </x:c>
      <x:c r="B23" s="79" t="n">
        <x:f>B21*(B10+B11)</x:f>
        <x:v>25000</x:v>
      </x:c>
      <x:c r="C23" s="54" t="str">
        <x:v>assets</x:v>
      </x:c>
      <x:c r="D23" s="54" t="str">
        <x:v>Photos + videos from active users</x:v>
      </x:c>
      <x:c r="F23" s="110"/>
      <x:c r="G23" s="111"/>
      <x:c r="H23" s="111"/>
      <x:c r="I23" s="111"/>
      <x:c r="J23" s="111"/>
      <x:c r="K23" s="111"/>
      <x:c r="L23" s="111"/>
      <x:c r="M23" s="111"/>
      <x:c r="N23" s="112"/>
    </x:row>
    <x:row r="24" ht="27" customHeight="1">
      <x:c r="A24" s="54" t="str">
        <x:v>Original ingress/day</x:v>
      </x:c>
      <x:c r="B24" s="80" t="n">
        <x:f>(B21*B10*B12+B21*B11*B13)/1024</x:f>
        <x:v>122.0703125</x:v>
      </x:c>
      <x:c r="C24" s="54" t="str">
        <x:v>GB</x:v>
      </x:c>
      <x:c r="D24" s="54" t="str">
        <x:v>Source originals uploaded once</x:v>
      </x:c>
      <x:c r="F24" s="113"/>
      <x:c r="G24" s="114"/>
      <x:c r="H24" s="114"/>
      <x:c r="I24" s="114"/>
      <x:c r="J24" s="114"/>
      <x:c r="K24" s="114"/>
      <x:c r="L24" s="114"/>
      <x:c r="M24" s="114"/>
      <x:c r="N24" s="115"/>
    </x:row>
    <x:row r="25" ht="27" customHeight="1">
      <x:c r="A25" s="54" t="str">
        <x:v>Preview ingress/day</x:v>
      </x:c>
      <x:c r="B25" s="80" t="n">
        <x:f>(B21*(B10+B11)*B14)/1024</x:f>
        <x:v>4.8828125</x:v>
      </x:c>
      <x:c r="C25" s="54" t="str">
        <x:v>GB</x:v>
      </x:c>
      <x:c r="D25" s="54" t="str">
        <x:v>Small preview uploaded once</x:v>
      </x:c>
    </x:row>
    <x:row r="26" ht="27" customHeight="1">
      <x:c r="A26" s="54" t="str">
        <x:v>Recipient delivery/day</x:v>
      </x:c>
      <x:c r="B26" s="80" t="n">
        <x:f>(B24+B25)*(B9-1)</x:f>
        <x:v>1142.578125</x:v>
      </x:c>
      <x:c r="C26" s="54" t="str">
        <x:v>GB</x:v>
      </x:c>
      <x:c r="D26" s="54" t="str">
        <x:v>Original + preview, fanned to other members</x:v>
      </x:c>
    </x:row>
    <x:row r="27" ht="27" customHeight="1">
      <x:c r="A27" s="54" t="str">
        <x:v>Average encrypted storage</x:v>
      </x:c>
      <x:c r="B27" s="80" t="n">
        <x:f>(B24+B25)*B15</x:f>
        <x:v>253.90625</x:v>
      </x:c>
      <x:c r="C27" s="54" t="str">
        <x:v>GB</x:v>
      </x:c>
      <x:c r="D27" s="54" t="str">
        <x:v>Ingress × average retention</x:v>
      </x:c>
    </x:row>
    <x:row r="28" ht="27" customHeight="1">
      <x:c r="A28" s="54" t="str">
        <x:v>Delivery rows/day</x:v>
      </x:c>
      <x:c r="B28" s="79" t="n">
        <x:f>B23*(B9-1)</x:f>
        <x:v>225000</x:v>
      </x:c>
      <x:c r="C28" s="54" t="str">
        <x:v>rows</x:v>
      </x:c>
      <x:c r="D28" s="54" t="str">
        <x:v>Assets × recipient count</x:v>
      </x:c>
    </x:row>
    <x:row r="29" ht="27" customHeight="1">
      <x:c r="A29" s="54" t="str">
        <x:v>Worst-case TTL storage</x:v>
      </x:c>
      <x:c r="B29" s="79" t="n">
        <x:f>(B24+B25)*B16</x:f>
        <x:v>888.671875</x:v>
      </x:c>
      <x:c r="C29" s="54" t="str">
        <x:v>GB</x:v>
      </x:c>
      <x:c r="D29" s="54" t="str">
        <x:v>Ingress × hard TTL</x:v>
      </x:c>
    </x:row>
    <x:row r="30" ht="27" customHeight="1">
      <x:c r="A30" s="54" t="str">
        <x:v>Illustrative monthly egress</x:v>
      </x:c>
      <x:c r="B30" s="81" t="n">
        <x:f>B26*30*B17</x:f>
        <x:v>3084.9609375</x:v>
      </x:c>
      <x:c r="C30" s="54" t="str">
        <x:v>$/month</x:v>
      </x:c>
      <x:c r="D30" s="54" t="str">
        <x:v>Delivery × 30 × editable rate</x:v>
      </x:c>
    </x:row>
    <x:row r="31" ht="27" customHeight="1">
      <x:c r="A31" s="54" t="str">
        <x:v>Absolute max trips</x:v>
      </x:c>
      <x:c r="B31" s="79" t="n">
        <x:f>B7/B9</x:f>
        <x:v>500</x:v>
      </x:c>
      <x:c r="C31" s="54" t="str">
        <x:v>trips</x:v>
      </x:c>
      <x:c r="D31" s="54" t="str">
        <x:v>All registered users active</x:v>
      </x:c>
    </x:row>
    <x:row r="33" ht="22" customHeight="1">
      <x:c r="A33" s="10" t="str">
        <x:v>Concurrency scenarios</x:v>
      </x:c>
      <x:c r="B33" s="10"/>
      <x:c r="C33" s="10"/>
      <x:c r="D33" s="10"/>
      <x:c r="E33" s="10"/>
      <x:c r="F33" s="10"/>
    </x:row>
    <x:row r="34">
      <x:c r="A34" s="82" t="str">
        <x:v>Active share</x:v>
      </x:c>
      <x:c r="B34" s="82" t="str">
        <x:v>Active users</x:v>
      </x:c>
      <x:c r="C34" s="82" t="str">
        <x:v>Trips</x:v>
      </x:c>
      <x:c r="D34" s="82" t="str">
        <x:v>Ingress GB/day</x:v>
      </x:c>
      <x:c r="E34" s="82" t="str">
        <x:v>Delivery TB/day</x:v>
      </x:c>
      <x:c r="F34" s="82" t="str">
        <x:v>Receipt rows/day</x:v>
      </x:c>
      <x:c r="H34" t="str">
        <x:v>Active share</x:v>
      </x:c>
      <x:c r="I34" t="str">
        <x:v>Delivery TB/day</x:v>
      </x:c>
    </x:row>
    <x:row r="35">
      <x:c r="A35" s="85" t="n">
        <x:v>0.1</x:v>
      </x:c>
      <x:c r="B35" s="86" t="n">
        <x:f>$B$7*A35</x:f>
        <x:v>500</x:v>
      </x:c>
      <x:c r="C35" s="86" t="n">
        <x:f>B35/$B$9</x:f>
        <x:v>50</x:v>
      </x:c>
      <x:c r="D35" s="87" t="n">
        <x:f>(B35*$B$10*$B$12+B35*$B$11*$B$13+B35*($B$10+$B$11)*$B$14)/1024</x:f>
        <x:v>63.4765625</x:v>
      </x:c>
      <x:c r="E35" s="87" t="n">
        <x:f>D35*($B$9-1)/1024</x:f>
        <x:v>0.5578994750976562</x:v>
      </x:c>
      <x:c r="F35" s="86" t="n">
        <x:f>B35*($B$10+$B$11)*($B$9-1)</x:f>
        <x:v>112500</x:v>
      </x:c>
      <x:c r="H35" t="str">
        <x:f>TEXT(A35,"0%")</x:f>
        <x:v>10%</x:v>
      </x:c>
      <x:c r="I35" t="n">
        <x:f>E35</x:f>
        <x:v>0.5578994750976562</x:v>
      </x:c>
    </x:row>
    <x:row r="36">
      <x:c r="A36" s="85" t="n">
        <x:v>0.2</x:v>
      </x:c>
      <x:c r="B36" s="86" t="n">
        <x:f>$B$7*A36</x:f>
        <x:v>1000</x:v>
      </x:c>
      <x:c r="C36" s="86" t="n">
        <x:f>B36/$B$9</x:f>
        <x:v>100</x:v>
      </x:c>
      <x:c r="D36" s="87" t="n">
        <x:f>(B36*$B$10*$B$12+B36*$B$11*$B$13+B36*($B$10+$B$11)*$B$14)/1024</x:f>
        <x:v>126.953125</x:v>
      </x:c>
      <x:c r="E36" s="87" t="n">
        <x:f>D36*($B$9-1)/1024</x:f>
        <x:v>1.1157989501953125</x:v>
      </x:c>
      <x:c r="F36" s="86" t="n">
        <x:f>B36*($B$10+$B$11)*($B$9-1)</x:f>
        <x:v>225000</x:v>
      </x:c>
      <x:c r="H36" t="str">
        <x:f>TEXT(A36,"0%")</x:f>
        <x:v>20%</x:v>
      </x:c>
      <x:c r="I36" t="n">
        <x:f>E36</x:f>
        <x:v>1.1157989501953125</x:v>
      </x:c>
    </x:row>
    <x:row r="37">
      <x:c r="A37" s="85" t="n">
        <x:v>0.5</x:v>
      </x:c>
      <x:c r="B37" s="86" t="n">
        <x:f>$B$7*A37</x:f>
        <x:v>2500</x:v>
      </x:c>
      <x:c r="C37" s="86" t="n">
        <x:f>B37/$B$9</x:f>
        <x:v>250</x:v>
      </x:c>
      <x:c r="D37" s="87" t="n">
        <x:f>(B37*$B$10*$B$12+B37*$B$11*$B$13+B37*($B$10+$B$11)*$B$14)/1024</x:f>
        <x:v>317.3828125</x:v>
      </x:c>
      <x:c r="E37" s="87" t="n">
        <x:f>D37*($B$9-1)/1024</x:f>
        <x:v>2.7894973754882812</x:v>
      </x:c>
      <x:c r="F37" s="86" t="n">
        <x:f>B37*($B$10+$B$11)*($B$9-1)</x:f>
        <x:v>562500</x:v>
      </x:c>
      <x:c r="H37" t="str">
        <x:f>TEXT(A37,"0%")</x:f>
        <x:v>50%</x:v>
      </x:c>
      <x:c r="I37" t="n">
        <x:f>E37</x:f>
        <x:v>2.7894973754882812</x:v>
      </x:c>
    </x:row>
    <x:row r="38">
      <x:c r="A38" s="85" t="n">
        <x:v>0.75</x:v>
      </x:c>
      <x:c r="B38" s="86" t="n">
        <x:f>$B$7*A38</x:f>
        <x:v>3750</x:v>
      </x:c>
      <x:c r="C38" s="86" t="n">
        <x:f>B38/$B$9</x:f>
        <x:v>375</x:v>
      </x:c>
      <x:c r="D38" s="87" t="n">
        <x:f>(B38*$B$10*$B$12+B38*$B$11*$B$13+B38*($B$10+$B$11)*$B$14)/1024</x:f>
        <x:v>476.07421875</x:v>
      </x:c>
      <x:c r="E38" s="87" t="n">
        <x:f>D38*($B$9-1)/1024</x:f>
        <x:v>4.184246063232422</x:v>
      </x:c>
      <x:c r="F38" s="86" t="n">
        <x:f>B38*($B$10+$B$11)*($B$9-1)</x:f>
        <x:v>843750</x:v>
      </x:c>
      <x:c r="H38" t="str">
        <x:f>TEXT(A38,"0%")</x:f>
        <x:v>75%</x:v>
      </x:c>
      <x:c r="I38" t="n">
        <x:f>E38</x:f>
        <x:v>4.184246063232422</x:v>
      </x:c>
    </x:row>
    <x:row r="39">
      <x:c r="A39" s="85" t="n">
        <x:v>1</x:v>
      </x:c>
      <x:c r="B39" s="86" t="n">
        <x:f>$B$7*A39</x:f>
        <x:v>5000</x:v>
      </x:c>
      <x:c r="C39" s="86" t="n">
        <x:f>B39/$B$9</x:f>
        <x:v>500</x:v>
      </x:c>
      <x:c r="D39" s="87" t="n">
        <x:f>(B39*$B$10*$B$12+B39*$B$11*$B$13+B39*($B$10+$B$11)*$B$14)/1024</x:f>
        <x:v>634.765625</x:v>
      </x:c>
      <x:c r="E39" s="87" t="n">
        <x:f>D39*($B$9-1)/1024</x:f>
        <x:v>5.5789947509765625</x:v>
      </x:c>
      <x:c r="F39" s="86" t="n">
        <x:f>B39*($B$10+$B$11)*($B$9-1)</x:f>
        <x:v>1125000</x:v>
      </x:c>
      <x:c r="H39" t="str">
        <x:f>TEXT(A39,"0%")</x:f>
        <x:v>100%</x:v>
      </x:c>
      <x:c r="I39" t="n">
        <x:f>E39</x:f>
        <x:v>5.5789947509765625</x:v>
      </x:c>
    </x:row>
  </x:sheetData>
  <x:mergeCells>
    <x:mergeCell ref="A1:N2"/>
    <x:mergeCell ref="A3:N3"/>
    <x:mergeCell ref="A5:F5"/>
    <x:mergeCell ref="A19:F19"/>
    <x:mergeCell ref="A33:F33"/>
    <x:mergeCell ref="F20:N24"/>
  </x:mergeCells>
  <x:pageMargins left="0.7" right="0.7" top="0.75" bottom="0.75" header="0.3" footer="0.3"/>
  <x:drawing xmlns:r="http://schemas.openxmlformats.org/officeDocument/2006/relationships" r:id="R1fe0fcf3d9704332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5" hidden="0" customWidth="1"/>
    <x:col min="4" max="4" width="20" hidden="0" customWidth="1"/>
    <x:col min="5" max="5" width="18" hidden="0" customWidth="1"/>
    <x:col min="6" max="6" width="40" hidden="0" customWidth="1"/>
    <x:col min="7" max="7" width="34" hidden="0" customWidth="1"/>
    <x:col min="8" max="8" width="34" hidden="0" customWidth="1"/>
    <x:col min="9" max="9" width="28" hidden="0" customWidth="1"/>
  </x:cols>
  <x:sheetData>
    <x:row r="1" ht="26" customHeight="1">
      <x:c r="A1" s="3" t="str">
        <x:v>SLO &amp; Tests</x:v>
      </x:c>
      <x:c r="B1" s="3"/>
      <x:c r="C1" s="3"/>
      <x:c r="D1" s="3"/>
      <x:c r="E1" s="3"/>
      <x:c r="F1" s="3"/>
      <x:c r="G1" s="3"/>
      <x:c r="H1" s="3"/>
      <x:c r="I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7" t="str">
        <x:v>Release readiness is demonstrated through the complete two-phone traveler journey on physical devices, not inferred from API health.</x:v>
      </x:c>
      <x:c r="B3" s="7"/>
      <x:c r="C3" s="7"/>
      <x:c r="D3" s="7"/>
      <x:c r="E3" s="7"/>
      <x:c r="F3" s="7"/>
      <x:c r="G3" s="7"/>
      <x:c r="H3" s="7"/>
      <x:c r="I3" s="7"/>
    </x:row>
    <x:row r="5" ht="22" customHeight="1">
      <x:c r="A5" s="10" t="str">
        <x:v>Service-level objectives</x:v>
      </x:c>
      <x:c r="B5" s="10"/>
      <x:c r="C5" s="10"/>
      <x:c r="D5" s="10"/>
      <x:c r="E5" s="10"/>
      <x:c r="F5" s="10"/>
      <x:c r="G5" s="10"/>
      <x:c r="H5" s="10"/>
      <x:c r="I5" s="10"/>
    </x:row>
    <x:row r="6" ht="28" customHeight="1">
      <x:c r="A6" s="51" t="str">
        <x:v>SLI</x:v>
      </x:c>
      <x:c r="B6" s="51" t="str">
        <x:v>MVP target</x:v>
      </x:c>
      <x:c r="C6" s="51" t="str">
        <x:v>Start</x:v>
      </x:c>
      <x:c r="D6" s="51" t="str">
        <x:v>Stop</x:v>
      </x:c>
      <x:c r="E6" s="51" t="str">
        <x:v>Segment</x:v>
      </x:c>
      <x:c r="F6" s="51" t="str">
        <x:v>Instrumentation</x:v>
      </x:c>
      <x:c r="G6" s="51" t="str">
        <x:v>Alert</x:v>
      </x:c>
      <x:c r="H6" s="51" t="str">
        <x:v>Owner</x:v>
      </x:c>
      <x:c r="I6" s="51" t="str">
        <x:v>Release gate</x:v>
      </x:c>
    </x:row>
    <x:row r="7" ht="48" customHeight="1">
      <x:c r="A7" s="55" t="str">
        <x:v>Preview visible latency</x:v>
      </x:c>
      <x:c r="B7" s="55" t="str">
        <x:v>p50 &lt;3s; p95 &lt;8s</x:v>
      </x:c>
      <x:c r="C7" s="55" t="str">
        <x:v>asset detected</x:v>
      </x:c>
      <x:c r="D7" s="55" t="str">
        <x:v>recipient preview rendered</x:v>
      </x:c>
      <x:c r="E7" s="55" t="str">
        <x:v>healthy Wi-Fi/5G; foreground recipient</x:v>
      </x:c>
      <x:c r="F7" s="55" t="str">
        <x:v>native + API stage timestamps</x:v>
      </x:c>
      <x:c r="G7" s="55" t="str">
        <x:v>p95 &gt;10s 15m</x:v>
      </x:c>
      <x:c r="H7" s="55" t="str">
        <x:v>Mobile + delivery</x:v>
      </x:c>
      <x:c r="I7" s="55" t="str">
        <x:v>Yes</x:v>
      </x:c>
    </x:row>
    <x:row r="8" ht="48" customHeight="1">
      <x:c r="A8" s="56" t="str">
        <x:v>12 MiB original saved</x:v>
      </x:c>
      <x:c r="B8" s="56" t="str">
        <x:v>p50 &lt;15s; p95 &lt;45s</x:v>
      </x:c>
      <x:c r="C8" s="56" t="str">
        <x:v>asset detected</x:v>
      </x:c>
      <x:c r="D8" s="56" t="str">
        <x:v>SAVED_LOCALLY accepted</x:v>
      </x:c>
      <x:c r="E8" s="56" t="str">
        <x:v>healthy Wi-Fi/5G</x:v>
      </x:c>
      <x:c r="F8" s="56" t="str">
        <x:v>transfer spans + receipt</x:v>
      </x:c>
      <x:c r="G8" s="56" t="str">
        <x:v>p95 &gt;60s 15m</x:v>
      </x:c>
      <x:c r="H8" s="56" t="str">
        <x:v>Mobile</x:v>
      </x:c>
      <x:c r="I8" s="56" t="str">
        <x:v>Yes</x:v>
      </x:c>
    </x:row>
    <x:row r="9" ht="48" customHeight="1">
      <x:c r="A9" s="55" t="str">
        <x:v>Manifest availability</x:v>
      </x:c>
      <x:c r="B9" s="55" t="str">
        <x:v>99.9% monthly</x:v>
      </x:c>
      <x:c r="C9" s="55" t="str">
        <x:v>commit request</x:v>
      </x:c>
      <x:c r="D9" s="55" t="str">
        <x:v>durable response</x:v>
      </x:c>
      <x:c r="E9" s="55" t="str">
        <x:v>all</x:v>
      </x:c>
      <x:c r="F9" s="55" t="str">
        <x:v>API trace + DB txn</x:v>
      </x:c>
      <x:c r="G9" s="55" t="str">
        <x:v>error budget burn</x:v>
      </x:c>
      <x:c r="H9" s="55" t="str">
        <x:v>Backend</x:v>
      </x:c>
      <x:c r="I9" s="55" t="str">
        <x:v>Yes</x:v>
      </x:c>
    </x:row>
    <x:row r="10" ht="48" customHeight="1">
      <x:c r="A10" s="56" t="str">
        <x:v>Silent asset loss</x:v>
      </x:c>
      <x:c r="B10" s="56" t="str">
        <x:v>0</x:v>
      </x:c>
      <x:c r="C10" s="56" t="str">
        <x:v>durable discovery</x:v>
      </x:c>
      <x:c r="D10" s="56" t="str">
        <x:v>terminal/actionable state</x:v>
      </x:c>
      <x:c r="E10" s="56" t="str">
        <x:v>all</x:v>
      </x:c>
      <x:c r="F10" s="56" t="str">
        <x:v>daily reconciliation audit</x:v>
      </x:c>
      <x:c r="G10" s="56" t="str">
        <x:v>any orphan</x:v>
      </x:c>
      <x:c r="H10" s="56" t="str">
        <x:v>Mobile + backend</x:v>
      </x:c>
      <x:c r="I10" s="56" t="str">
        <x:v>Yes</x:v>
      </x:c>
    </x:row>
    <x:row r="11" ht="48" customHeight="1">
      <x:c r="A11" s="55" t="str">
        <x:v>Duplicate library save</x:v>
      </x:c>
      <x:c r="B11" s="55" t="str">
        <x:v>&lt;1 per 1M attempts</x:v>
      </x:c>
      <x:c r="C11" s="55" t="str">
        <x:v>save requested</x:v>
      </x:c>
      <x:c r="D11" s="55" t="str">
        <x:v>library ID ledgered</x:v>
      </x:c>
      <x:c r="E11" s="55" t="str">
        <x:v>all</x:v>
      </x:c>
      <x:c r="F11" s="55" t="str">
        <x:v>unique save metrics</x:v>
      </x:c>
      <x:c r="G11" s="55" t="str">
        <x:v>rate &gt; target</x:v>
      </x:c>
      <x:c r="H11" s="55" t="str">
        <x:v>Mobile</x:v>
      </x:c>
      <x:c r="I11" s="55" t="str">
        <x:v>Yes</x:v>
      </x:c>
    </x:row>
    <x:row r="12" ht="48" customHeight="1">
      <x:c r="A12" s="56" t="str">
        <x:v>Receipt durability</x:v>
      </x:c>
      <x:c r="B12" s="56" t="str">
        <x:v>99.99%</x:v>
      </x:c>
      <x:c r="C12" s="56" t="str">
        <x:v>local receipt queued</x:v>
      </x:c>
      <x:c r="D12" s="56" t="str">
        <x:v>server accepted</x:v>
      </x:c>
      <x:c r="E12" s="56" t="str">
        <x:v>all</x:v>
      </x:c>
      <x:c r="F12" s="56" t="str">
        <x:v>outbox age</x:v>
      </x:c>
      <x:c r="G12" s="56" t="str">
        <x:v>oldest &gt;5m online</x:v>
      </x:c>
      <x:c r="H12" s="56" t="str">
        <x:v>Mobile + API</x:v>
      </x:c>
      <x:c r="I12" s="56" t="str">
        <x:v>Yes</x:v>
      </x:c>
    </x:row>
    <x:row r="13" ht="48" customHeight="1">
      <x:c r="A13" s="55" t="str">
        <x:v>Hard deletion</x:v>
      </x:c>
      <x:c r="B13" s="55" t="str">
        <x:v>100% by TTL</x:v>
      </x:c>
      <x:c r="C13" s="55" t="str">
        <x:v>object created</x:v>
      </x:c>
      <x:c r="D13" s="55" t="str">
        <x:v>head returns missing</x:v>
      </x:c>
      <x:c r="E13" s="55" t="str">
        <x:v>all</x:v>
      </x:c>
      <x:c r="F13" s="55" t="str">
        <x:v>cleanup audit + bucket inventory</x:v>
      </x:c>
      <x:c r="G13" s="55" t="str">
        <x:v>any overdue</x:v>
      </x:c>
      <x:c r="H13" s="55" t="str">
        <x:v>Backend/Sec</x:v>
      </x:c>
      <x:c r="I13" s="55" t="str">
        <x:v>Yes</x:v>
      </x:c>
    </x:row>
    <x:row r="14" ht="48" customHeight="1">
      <x:c r="A14" s="56" t="str">
        <x:v>Completion correctness</x:v>
      </x:c>
      <x:c r="B14" s="56" t="str">
        <x:v>0 required gaps</x:v>
      </x:c>
      <x:c r="C14" s="56" t="str">
        <x:v>end requested</x:v>
      </x:c>
      <x:c r="D14" s="56" t="str">
        <x:v>COMPLETE</x:v>
      </x:c>
      <x:c r="E14" s="56" t="str">
        <x:v>all</x:v>
      </x:c>
      <x:c r="F14" s="56" t="str">
        <x:v>asset×device matrix</x:v>
      </x:c>
      <x:c r="G14" s="56" t="str">
        <x:v>any false complete</x:v>
      </x:c>
      <x:c r="H14" s="56" t="str">
        <x:v>Backend</x:v>
      </x:c>
      <x:c r="I14" s="56" t="str">
        <x:v>Yes</x:v>
      </x:c>
    </x:row>
    <x:row r="16" ht="22" customHeight="1">
      <x:c r="A16" s="10" t="str">
        <x:v>Physical-device acceptance matrix</x:v>
      </x:c>
      <x:c r="B16" s="10"/>
      <x:c r="C16" s="10"/>
      <x:c r="D16" s="10"/>
      <x:c r="E16" s="10"/>
      <x:c r="F16" s="10"/>
      <x:c r="G16" s="10"/>
      <x:c r="H16" s="10"/>
      <x:c r="I16" s="10"/>
    </x:row>
    <x:row r="17" ht="28" customHeight="1">
      <x:c r="A17" s="51" t="str">
        <x:v>Test</x:v>
      </x:c>
      <x:c r="B17" s="51" t="str">
        <x:v>Source state</x:v>
      </x:c>
      <x:c r="C17" s="51" t="str">
        <x:v>Recipient state</x:v>
      </x:c>
      <x:c r="D17" s="51" t="str">
        <x:v>Network</x:v>
      </x:c>
      <x:c r="E17" s="51" t="str">
        <x:v>Media</x:v>
      </x:c>
      <x:c r="F17" s="51" t="str">
        <x:v>Expected transfer behavior</x:v>
      </x:c>
      <x:c r="G17" s="51" t="str">
        <x:v>Expected UI</x:v>
      </x:c>
      <x:c r="H17" s="51" t="str">
        <x:v>Data assertion</x:v>
      </x:c>
      <x:c r="I17" s="51" t="str">
        <x:v>Automation</x:v>
      </x:c>
    </x:row>
    <x:row r="18" ht="54" customHeight="1">
      <x:c r="A18" s="55" t="str">
        <x:v>Happy 10-person trip</x:v>
      </x:c>
      <x:c r="B18" s="55" t="str">
        <x:v>foreground/background mix</x:v>
      </x:c>
      <x:c r="C18" s="55" t="str">
        <x:v>foreground mix</x:v>
      </x:c>
      <x:c r="D18" s="55" t="str">
        <x:v>healthy Wi-Fi</x:v>
      </x:c>
      <x:c r="E18" s="55" t="str">
        <x:v>3 photos/device</x:v>
      </x:c>
      <x:c r="F18" s="55" t="str">
        <x:v>preview first; all originals save</x:v>
      </x:c>
      <x:c r="G18" s="55" t="str">
        <x:v>live progress + complete</x:v>
      </x:c>
      <x:c r="H18" s="55" t="str">
        <x:v>300 required saves exactly once</x:v>
      </x:c>
      <x:c r="I18" s="55" t="str">
        <x:v>Maestro + native test hooks</x:v>
      </x:c>
    </x:row>
    <x:row r="19" ht="54" customHeight="1">
      <x:c r="A19" s="56" t="str">
        <x:v>Source force-quit iOS</x:v>
      </x:c>
      <x:c r="B19" s="56" t="str">
        <x:v>force-quit after capture</x:v>
      </x:c>
      <x:c r="C19" s="56" t="str">
        <x:v>foreground</x:v>
      </x:c>
      <x:c r="D19" s="56" t="str">
        <x:v>healthy</x:v>
      </x:c>
      <x:c r="E19" s="56" t="str">
        <x:v>photo</x:v>
      </x:c>
      <x:c r="F19" s="56" t="str">
        <x:v>honest delay until OS/app allows; no loss after relaunch</x:v>
      </x:c>
      <x:c r="G19" s="56" t="str">
        <x:v>source delayed, not failed</x:v>
      </x:c>
      <x:c r="H19" s="56" t="str">
        <x:v>job reconciled and delivered</x:v>
      </x:c>
      <x:c r="I19" s="56" t="str">
        <x:v>Manual physical device</x:v>
      </x:c>
    </x:row>
    <x:row r="20" ht="54" customHeight="1">
      <x:c r="A20" s="55" t="str">
        <x:v>20-minute outage</x:v>
      </x:c>
      <x:c r="B20" s="55" t="str">
        <x:v>online</x:v>
      </x:c>
      <x:c r="C20" s="55" t="str">
        <x:v>offline 20m</x:v>
      </x:c>
      <x:c r="D20" s="55" t="str">
        <x:v>airplane mode</x:v>
      </x:c>
      <x:c r="E20" s="55" t="str">
        <x:v>photos</x:v>
      </x:c>
      <x:c r="F20" s="55" t="str">
        <x:v>inbox accumulates; downloads resume</x:v>
      </x:c>
      <x:c r="G20" s="55" t="str">
        <x:v>offline banner + backlog</x:v>
      </x:c>
      <x:c r="H20" s="55" t="str">
        <x:v>cursor replay no duplicate</x:v>
      </x:c>
      <x:c r="I20" s="55" t="str">
        <x:v>Maestro/network control</x:v>
      </x:c>
    </x:row>
    <x:row r="21" ht="54" customHeight="1">
      <x:c r="A21" s="56" t="str">
        <x:v>Storage full</x:v>
      </x:c>
      <x:c r="B21" s="56" t="str">
        <x:v>online</x:v>
      </x:c>
      <x:c r="C21" s="56" t="str">
        <x:v>low storage</x:v>
      </x:c>
      <x:c r="D21" s="56" t="str">
        <x:v>healthy</x:v>
      </x:c>
      <x:c r="E21" s="56" t="str">
        <x:v>photo</x:v>
      </x:c>
      <x:c r="F21" s="56" t="str">
        <x:v>download/save blocks without false receipt</x:v>
      </x:c>
      <x:c r="G21" s="56" t="str">
        <x:v>actionable free-space blocker</x:v>
      </x:c>
      <x:c r="H21" s="56" t="str">
        <x:v>no SAVED receipt until retry</x:v>
      </x:c>
      <x:c r="I21" s="56" t="str">
        <x:v>Native integration</x:v>
      </x:c>
    </x:row>
    <x:row r="22" ht="54" customHeight="1">
      <x:c r="A22" s="55" t="str">
        <x:v>Permission revoked</x:v>
      </x:c>
      <x:c r="B22" s="55" t="str">
        <x:v>library permission off</x:v>
      </x:c>
      <x:c r="C22" s="55" t="str">
        <x:v>normal</x:v>
      </x:c>
      <x:c r="D22" s="55" t="str">
        <x:v>healthy</x:v>
      </x:c>
      <x:c r="E22" s="55" t="str">
        <x:v>photo</x:v>
      </x:c>
      <x:c r="F22" s="55" t="str">
        <x:v>source blocks and reconciles after grant</x:v>
      </x:c>
      <x:c r="G22" s="55" t="str">
        <x:v>specific permission action</x:v>
      </x:c>
      <x:c r="H22" s="55" t="str">
        <x:v>no silent drop</x:v>
      </x:c>
      <x:c r="I22" s="55" t="str">
        <x:v>XCTest/Espresso</x:v>
      </x:c>
    </x:row>
    <x:row r="23" ht="54" customHeight="1">
      <x:c r="A23" s="56" t="str">
        <x:v>Duplicate callbacks</x:v>
      </x:c>
      <x:c r="B23" s="56" t="str">
        <x:v>same asset observed 5×</x:v>
      </x:c>
      <x:c r="C23" s="56" t="str">
        <x:v>normal</x:v>
      </x:c>
      <x:c r="D23" s="56" t="str">
        <x:v>healthy</x:v>
      </x:c>
      <x:c r="E23" s="56" t="str">
        <x:v>photo</x:v>
      </x:c>
      <x:c r="F23" s="56" t="str">
        <x:v>one committed asset</x:v>
      </x:c>
      <x:c r="G23" s="56" t="str">
        <x:v>single tile</x:v>
      </x:c>
      <x:c r="H23" s="56" t="str">
        <x:v>unique source key holds</x:v>
      </x:c>
      <x:c r="I23" s="56" t="str">
        <x:v>Native unit/integration</x:v>
      </x:c>
    </x:row>
    <x:row r="24" ht="54" customHeight="1">
      <x:c r="A24" s="55" t="str">
        <x:v>Corrupted part</x:v>
      </x:c>
      <x:c r="B24" s="55" t="str">
        <x:v>normal</x:v>
      </x:c>
      <x:c r="C24" s="55" t="str">
        <x:v>normal</x:v>
      </x:c>
      <x:c r="D24" s="55" t="str">
        <x:v>lossy proxy</x:v>
      </x:c>
      <x:c r="E24" s="55" t="str">
        <x:v>large file</x:v>
      </x:c>
      <x:c r="F24" s="55" t="str">
        <x:v>auth fails; redownload only affected transfer</x:v>
      </x:c>
      <x:c r="G24" s="55" t="str">
        <x:v>retrying/verifying</x:v>
      </x:c>
      <x:c r="H24" s="55" t="str">
        <x:v>never saves corrupt plaintext</x:v>
      </x:c>
      <x:c r="I24" s="55" t="str">
        <x:v>Toxiproxy/custom test server</x:v>
      </x:c>
    </x:row>
    <x:row r="25" ht="54" customHeight="1">
      <x:c r="A25" s="56" t="str">
        <x:v>Scheduled release</x:v>
      </x:c>
      <x:c r="B25" s="56" t="str">
        <x:v>uploads before 10 PM</x:v>
      </x:c>
      <x:c r="C25" s="56" t="str">
        <x:v>mixed online/offline</x:v>
      </x:c>
      <x:c r="D25" s="56" t="str">
        <x:v>mixed</x:v>
      </x:c>
      <x:c r="E25" s="56" t="str">
        <x:v>photos</x:v>
      </x:c>
      <x:c r="F25" s="56" t="str">
        <x:v>no inbox visibility before release; durable after</x:v>
      </x:c>
      <x:c r="G25" s="56" t="str">
        <x:v>countdown then sync</x:v>
      </x:c>
      <x:c r="H25" s="56" t="str">
        <x:v>available_at enforced server-side</x:v>
      </x:c>
      <x:c r="I25" s="56" t="str">
        <x:v>API clock + device E2E</x:v>
      </x:c>
    </x:row>
    <x:row r="26" ht="54" customHeight="1">
      <x:c r="A26" s="55" t="str">
        <x:v>TTL with missing member</x:v>
      </x:c>
      <x:c r="B26" s="55" t="str">
        <x:v>normal</x:v>
      </x:c>
      <x:c r="C26" s="55" t="str">
        <x:v>device absent &gt;TTL</x:v>
      </x:c>
      <x:c r="D26" s="55" t="str">
        <x:v>offline</x:v>
      </x:c>
      <x:c r="E26" s="55" t="str">
        <x:v>photo</x:v>
      </x:c>
      <x:c r="F26" s="55" t="str">
        <x:v>purge on TTL</x:v>
      </x:c>
      <x:c r="G26" s="55" t="str">
        <x:v>INCOMPLETE_EXPIRED + exact gap</x:v>
      </x:c>
      <x:c r="H26" s="55" t="str">
        <x:v>object absent; audit preserved</x:v>
      </x:c>
      <x:c r="I26" s="55" t="str">
        <x:v>Lifecycle integration</x:v>
      </x:c>
    </x:row>
  </x:sheetData>
  <x:mergeCells>
    <x:mergeCell ref="A1:I2"/>
    <x:mergeCell ref="A3:I3"/>
    <x:mergeCell ref="A5:I5"/>
    <x:mergeCell ref="A16:I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34" hidden="0" customWidth="1"/>
    <x:col min="5" max="5" width="40" hidden="0" customWidth="1"/>
    <x:col min="6" max="6" width="28" hidden="0" customWidth="1"/>
    <x:col min="7" max="7" width="22" hidden="0" customWidth="1"/>
    <x:col min="8" max="8" width="20" hidden="0" customWidth="1"/>
  </x:cols>
  <x:sheetData>
    <x:row r="1" ht="26" customHeight="1">
      <x:c r="A1" s="3" t="str">
        <x:v>Roadmap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7" t="str">
        <x:v>Sequence removes the riskiest assumptions first. Timing is an estimate only after Phase 0 feasibility results.</x:v>
      </x:c>
      <x:c r="B3" s="7"/>
      <x:c r="C3" s="7"/>
      <x:c r="D3" s="7"/>
      <x:c r="E3" s="7"/>
      <x:c r="F3" s="7"/>
      <x:c r="G3" s="7"/>
      <x:c r="H3" s="7"/>
    </x:row>
    <x:row r="5" ht="28" customHeight="1">
      <x:c r="A5" s="51" t="str">
        <x:v>Stage</x:v>
      </x:c>
      <x:c r="B5" s="51" t="str">
        <x:v>Outcome</x:v>
      </x:c>
      <x:c r="C5" s="51" t="str">
        <x:v>Scope</x:v>
      </x:c>
      <x:c r="D5" s="51" t="str">
        <x:v>Artifact</x:v>
      </x:c>
      <x:c r="E5" s="51" t="str">
        <x:v>Exit criterion</x:v>
      </x:c>
      <x:c r="F5" s="51" t="str">
        <x:v>Depends on</x:v>
      </x:c>
      <x:c r="G5" s="51" t="str">
        <x:v>Owner</x:v>
      </x:c>
      <x:c r="H5" s="51" t="str">
        <x:v>Gate</x:v>
      </x:c>
    </x:row>
    <x:row r="6" ht="54" customHeight="1">
      <x:c r="A6" s="64" t="str">
        <x:v>0A</x:v>
      </x:c>
      <x:c r="B6" s="55" t="str">
        <x:v>iOS feasibility</x:v>
      </x:c>
      <x:c r="C6" s="55" t="str">
        <x:v>PhotoKit observer, persistent token, GRDB, encrypted staging, background URLSession</x:v>
      </x:c>
      <x:c r="D6" s="55" t="str">
        <x:v>Physical-device capture-to-server trace</x:v>
      </x:c>
      <x:c r="E6" s="55" t="str">
        <x:v>Behavior and force-quit limit documented</x:v>
      </x:c>
      <x:c r="F6" s="55" t="str">
        <x:v>Apple account + iOS 16.4+ devices</x:v>
      </x:c>
      <x:c r="G6" s="55" t="str">
        <x:v>Mobile iOS</x:v>
      </x:c>
      <x:c r="H6" s="55" t="str">
        <x:v>Highest risk</x:v>
      </x:c>
    </x:row>
    <x:row r="7" ht="54" customHeight="1">
      <x:c r="A7" s="64" t="str">
        <x:v>0B</x:v>
      </x:c>
      <x:c r="B7" s="56" t="str">
        <x:v>Android feasibility</x:v>
      </x:c>
      <x:c r="C7" s="56" t="str">
        <x:v>MediaStore cursor, TriggerContentUri, WorkManager/Room</x:v>
      </x:c>
      <x:c r="D7" s="56" t="str">
        <x:v>Physical-device capture-to-server trace</x:v>
      </x:c>
      <x:c r="E7" s="56" t="str">
        <x:v>Missed changes reconcile after reboot/kill</x:v>
      </x:c>
      <x:c r="F7" s="56" t="str">
        <x:v>Representative OEM devices</x:v>
      </x:c>
      <x:c r="G7" s="56" t="str">
        <x:v>Mobile Android</x:v>
      </x:c>
      <x:c r="H7" s="56" t="str">
        <x:v>Highest risk</x:v>
      </x:c>
    </x:row>
    <x:row r="8" ht="54" customHeight="1">
      <x:c r="A8" s="64" t="str">
        <x:v>0C</x:v>
      </x:c>
      <x:c r="B8" s="55" t="str">
        <x:v>Crypto/photo spike</x:v>
      </x:c>
      <x:c r="C8" s="55" t="str">
        <x:v>libsodium stream framing, hashes, key envelopes</x:v>
      </x:c>
      <x:c r="D8" s="55" t="str">
        <x:v>50 MiB cross-platform round trip</x:v>
      </x:c>
      <x:c r="E8" s="55" t="str">
        <x:v>Bounded memory; retry; tamper detection</x:v>
      </x:c>
      <x:c r="F8" s="55" t="str">
        <x:v>Native wrappers</x:v>
      </x:c>
      <x:c r="G8" s="55" t="str">
        <x:v>Security + mobile</x:v>
      </x:c>
      <x:c r="H8" s="55" t="str">
        <x:v>Security review</x:v>
      </x:c>
    </x:row>
    <x:row r="9" ht="54" customHeight="1">
      <x:c r="A9" s="64" t="str">
        <x:v>0D</x:v>
      </x:c>
      <x:c r="B9" s="56" t="str">
        <x:v>Policy/privacy</x:v>
      </x:c>
      <x:c r="C9" s="56" t="str">
        <x:v>Permission UX, Play declaration, retention policy, threat model</x:v>
      </x:c>
      <x:c r="D9" s="56" t="str">
        <x:v>Reviewed policy pack</x:v>
      </x:c>
      <x:c r="E9" s="56" t="str">
        <x:v>No unresolved store-policy blocker</x:v>
      </x:c>
      <x:c r="F9" s="56" t="str">
        <x:v>Legal/privacy input</x:v>
      </x:c>
      <x:c r="G9" s="56" t="str">
        <x:v>Product + security</x:v>
      </x:c>
      <x:c r="H9" s="56" t="str">
        <x:v>Go/no-go</x:v>
      </x:c>
    </x:row>
    <x:row r="10" ht="54" customHeight="1">
      <x:c r="A10" s="64" t="str">
        <x:v>1A</x:v>
      </x:c>
      <x:c r="B10" s="55" t="str">
        <x:v>Control-plane skeleton</x:v>
      </x:c>
      <x:c r="C10" s="55" t="str">
        <x:v>Trips, devices, membership, Kysely schema, auth, signed storage</x:v>
      </x:c>
      <x:c r="D10" s="55" t="str">
        <x:v>API + DB + worker in staging</x:v>
      </x:c>
      <x:c r="E10" s="55" t="str">
        <x:v>Transactional invariants and idempotency tests pass</x:v>
      </x:c>
      <x:c r="F10" s="55" t="str">
        <x:v>Phase 0 contracts</x:v>
      </x:c>
      <x:c r="G10" s="55" t="str">
        <x:v>Backend</x:v>
      </x:c>
      <x:c r="H10" s="55" t="str">
        <x:v>Modular monolith</x:v>
      </x:c>
    </x:row>
    <x:row r="11" ht="54" customHeight="1">
      <x:c r="A11" s="64" t="str">
        <x:v>1B</x:v>
      </x:c>
      <x:c r="B11" s="56" t="str">
        <x:v>Two-device photo slice</x:v>
      </x:c>
      <x:c r="C11" s="56" t="str">
        <x:v>Detect → preview → original → save → receipt → purge</x:v>
      </x:c>
      <x:c r="D11" s="56" t="str">
        <x:v>One iOS + one Android end-to-end</x:v>
      </x:c>
      <x:c r="E11" s="56" t="str">
        <x:v>Healthy path meets SLI and exact hash</x:v>
      </x:c>
      <x:c r="F11" s="56" t="str">
        <x:v>0A–1A</x:v>
      </x:c>
      <x:c r="G11" s="56" t="str">
        <x:v>Mobile + backend</x:v>
      </x:c>
      <x:c r="H11" s="56" t="str">
        <x:v>First product truth</x:v>
      </x:c>
    </x:row>
    <x:row r="12" ht="54" customHeight="1">
      <x:c r="A12" s="64" t="str">
        <x:v>1C</x:v>
      </x:c>
      <x:c r="B12" s="55" t="str">
        <x:v>Reliability hardening</x:v>
      </x:c>
      <x:c r="C12" s="55" t="str">
        <x:v>Offline, restart, duplicate, storage-full, permission, corruption</x:v>
      </x:c>
      <x:c r="D12" s="55" t="str">
        <x:v>Chaos acceptance evidence</x:v>
      </x:c>
      <x:c r="E12" s="55" t="str">
        <x:v>Zero silent loss in defined matrix</x:v>
      </x:c>
      <x:c r="F12" s="55" t="str">
        <x:v>1B</x:v>
      </x:c>
      <x:c r="G12" s="55" t="str">
        <x:v>All</x:v>
      </x:c>
      <x:c r="H12" s="55" t="str">
        <x:v>No new features</x:v>
      </x:c>
    </x:row>
    <x:row r="13" ht="54" customHeight="1">
      <x:c r="A13" s="64" t="str">
        <x:v>2A</x:v>
      </x:c>
      <x:c r="B13" s="56" t="str">
        <x:v>Ten-person experience</x:v>
      </x:c>
      <x:c r="C13" s="56" t="str">
        <x:v>Invite/QR, 10 cap, one active trip, progress/reconciliation</x:v>
      </x:c>
      <x:c r="D13" s="56" t="str">
        <x:v>10-device journey</x:v>
      </x:c>
      <x:c r="E13" s="56" t="str">
        <x:v>Every required cell saved exactly once</x:v>
      </x:c>
      <x:c r="F13" s="56" t="str">
        <x:v>1C</x:v>
      </x:c>
      <x:c r="G13" s="56" t="str">
        <x:v>Product + all</x:v>
      </x:c>
      <x:c r="H13" s="56" t="str">
        <x:v>MVP core</x:v>
      </x:c>
    </x:row>
    <x:row r="14" ht="54" customHeight="1">
      <x:c r="A14" s="64" t="str">
        <x:v>2B</x:v>
      </x:c>
      <x:c r="B14" s="55" t="str">
        <x:v>Pause and nightly release</x:v>
      </x:c>
      <x:c r="C14" s="55" t="str">
        <x:v>Device-local policy and server release gate</x:v>
      </x:c>
      <x:c r="D14" s="55" t="str">
        <x:v>Scenario evidence</x:v>
      </x:c>
      <x:c r="E14" s="55" t="str">
        <x:v>Discovery continues paused; held rows release correctly</x:v>
      </x:c>
      <x:c r="F14" s="55" t="str">
        <x:v>2A</x:v>
      </x:c>
      <x:c r="G14" s="55" t="str">
        <x:v>All</x:v>
      </x:c>
      <x:c r="H14" s="55" t="str">
        <x:v>MVP controls</x:v>
      </x:c>
    </x:row>
    <x:row r="15" ht="54" customHeight="1">
      <x:c r="A15" s="64" t="str">
        <x:v>2C</x:v>
      </x:c>
      <x:c r="B15" s="56" t="str">
        <x:v>Operations/release</x:v>
      </x:c>
      <x:c r="C15" s="56" t="str">
        <x:v>Dashboards, alerts, cleanup audit, repair tools, runbooks</x:v>
      </x:c>
      <x:c r="D15" s="56" t="str">
        <x:v>Release candidate</x:v>
      </x:c>
      <x:c r="E15" s="56" t="str">
        <x:v>SLO gates green; incident drills pass</x:v>
      </x:c>
      <x:c r="F15" s="56" t="str">
        <x:v>2B</x:v>
      </x:c>
      <x:c r="G15" s="56" t="str">
        <x:v>Backend/SRE</x:v>
      </x:c>
      <x:c r="H15" s="56" t="str">
        <x:v>MVP launch</x:v>
      </x:c>
    </x:row>
    <x:row r="16" ht="54" customHeight="1">
      <x:c r="A16" s="64" t="str">
        <x:v>3</x:v>
      </x:c>
      <x:c r="B16" s="55" t="str">
        <x:v>Post-MVP review</x:v>
      </x:c>
      <x:c r="C16" s="55" t="str">
        <x:v>Use MVP telemetry to decide whether video is a new product phase</x:v>
      </x:c>
      <x:c r="D16" s="55" t="str">
        <x:v>Explicit product decision</x:v>
      </x:c>
      <x:c r="E16" s="55" t="str">
        <x:v>No video code enters the MVP branch</x:v>
      </x:c>
      <x:c r="F16" s="55" t="str">
        <x:v>MVP evidence</x:v>
      </x:c>
      <x:c r="G16" s="55" t="str">
        <x:v>Product + architecture</x:v>
      </x:c>
      <x:c r="H16" s="55" t="str">
        <x:v>Outside MVP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16" hidden="0" customWidth="1"/>
    <x:col min="5" max="5" width="48" hidden="0" customWidth="1"/>
    <x:col min="6" max="6" width="34" hidden="0" customWidth="1"/>
    <x:col min="7" max="7" width="22" hidden="0" customWidth="1"/>
    <x:col min="8" max="8" width="14" hidden="0" customWidth="1"/>
  </x:cols>
  <x:sheetData>
    <x:row r="1" ht="26" customHeight="1">
      <x:c r="A1" s="3" t="str">
        <x:v>Decisions &amp; Risks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7" t="str">
        <x:v>Architectural provenance: what is chosen, what is rejected for MVP, and what evidence would change the decision.</x:v>
      </x:c>
      <x:c r="B3" s="7"/>
      <x:c r="C3" s="7"/>
      <x:c r="D3" s="7"/>
      <x:c r="E3" s="7"/>
      <x:c r="F3" s="7"/>
      <x:c r="G3" s="7"/>
      <x:c r="H3" s="7"/>
    </x:row>
    <x:row r="5" ht="22" customHeight="1">
      <x:c r="A5" s="10" t="str">
        <x:v>Architecture decision record</x:v>
      </x:c>
      <x:c r="B5" s="10"/>
      <x:c r="C5" s="10"/>
      <x:c r="D5" s="10"/>
      <x:c r="E5" s="10"/>
      <x:c r="F5" s="10"/>
      <x:c r="G5" s="10"/>
      <x:c r="H5" s="10"/>
    </x:row>
    <x:row r="6" ht="28" customHeight="1">
      <x:c r="A6" s="51" t="str">
        <x:v>Status</x:v>
      </x:c>
      <x:c r="B6" s="51" t="str">
        <x:v>Decision</x:v>
      </x:c>
      <x:c r="C6" s="51" t="str">
        <x:v>Chosen</x:v>
      </x:c>
      <x:c r="D6" s="51" t="str">
        <x:v>Rejected for MVP</x:v>
      </x:c>
      <x:c r="E6" s="51" t="str">
        <x:v>Why</x:v>
      </x:c>
      <x:c r="F6" s="51" t="str">
        <x:v>Evidence</x:v>
      </x:c>
      <x:c r="G6" s="51" t="str">
        <x:v>Revisit trigger</x:v>
      </x:c>
      <x:c r="H6" s="51" t="str">
        <x:v>Owner</x:v>
      </x:c>
    </x:row>
    <x:row r="7" ht="52" customHeight="1">
      <x:c r="A7" s="60" t="str">
        <x:v>DECIDED</x:v>
      </x:c>
      <x:c r="B7" s="55" t="str">
        <x:v>Transfer topology</x:v>
      </x:c>
      <x:c r="C7" s="55" t="str">
        <x:v>Temporary object store + durable inbox</x:v>
      </x:c>
      <x:c r="D7" s="55" t="str">
        <x:v>P2P mesh / live byte relay</x:v>
      </x:c>
      <x:c r="E7" s="55" t="str">
        <x:v>Offline durability and 1→9 fan-out</x:v>
      </x:c>
      <x:c r="F7" s="55" t="str">
        <x:v>Mobile lifecycle + S3 primitives</x:v>
      </x:c>
      <x:c r="G7" s="55" t="str">
        <x:v>LAN cost/latency metrics justify assist</x:v>
      </x:c>
      <x:c r="H7" s="55" t="str">
        <x:v>Architecture</x:v>
      </x:c>
    </x:row>
    <x:row r="8" ht="52" customHeight="1">
      <x:c r="A8" s="60" t="str">
        <x:v>DECIDED</x:v>
      </x:c>
      <x:c r="B8" s="56" t="str">
        <x:v>Camera</x:v>
      </x:c>
      <x:c r="C8" s="56" t="str">
        <x:v>Stock camera + native detector</x:v>
      </x:c>
      <x:c r="D8" s="56" t="str">
        <x:v>In-app camera</x:v>
      </x:c>
      <x:c r="E8" s="56" t="str">
        <x:v>Product requirement and camera quality</x:v>
      </x:c>
      <x:c r="F8" s="56" t="str">
        <x:v>OS photo APIs</x:v>
      </x:c>
      <x:c r="G8" s="56" t="str">
        <x:v>Never without product change</x:v>
      </x:c>
      <x:c r="H8" s="56" t="str">
        <x:v>Product/mobile</x:v>
      </x:c>
    </x:row>
    <x:row r="9" ht="52" customHeight="1">
      <x:c r="A9" s="60" t="str">
        <x:v>DECIDED</x:v>
      </x:c>
      <x:c r="B9" s="55" t="str">
        <x:v>Trigger semantics</x:v>
      </x:c>
      <x:c r="C9" s="55" t="str">
        <x:v>Cursor sync + push hint</x:v>
      </x:c>
      <x:c r="D9" s="55" t="str">
        <x:v>Push/pub-sub as queue</x:v>
      </x:c>
      <x:c r="E9" s="55" t="str">
        <x:v>Push may drop/throttle</x:v>
      </x:c>
      <x:c r="F9" s="55" t="str">
        <x:v>Apple/FCM docs</x:v>
      </x:c>
      <x:c r="G9" s="55" t="str">
        <x:v>None; durable inbox remains</x:v>
      </x:c>
      <x:c r="H9" s="55" t="str">
        <x:v>Backend</x:v>
      </x:c>
    </x:row>
    <x:row r="10" ht="52" customHeight="1">
      <x:c r="A10" s="60" t="str">
        <x:v>DECIDED</x:v>
      </x:c>
      <x:c r="B10" s="56" t="str">
        <x:v>Fidelity</x:v>
      </x:c>
      <x:c r="C10" s="56" t="str">
        <x:v>Exact original + compressed preview</x:v>
      </x:c>
      <x:c r="D10" s="56" t="str">
        <x:v>Original recompression</x:v>
      </x:c>
      <x:c r="E10" s="56" t="str">
        <x:v>No quality loss plus perceived speed</x:v>
      </x:c>
      <x:c r="F10" s="56" t="str">
        <x:v>Product contract</x:v>
      </x:c>
      <x:c r="G10" s="56" t="str">
        <x:v>Never</x:v>
      </x:c>
      <x:c r="H10" s="56" t="str">
        <x:v>Product</x:v>
      </x:c>
    </x:row>
    <x:row r="11" ht="52" customHeight="1">
      <x:c r="A11" s="60" t="str">
        <x:v>DECIDED</x:v>
      </x:c>
      <x:c r="B11" s="55" t="str">
        <x:v>Backend shape</x:v>
      </x:c>
      <x:c r="C11" s="55" t="str">
        <x:v>Modular monolith</x:v>
      </x:c>
      <x:c r="D11" s="55" t="str">
        <x:v>Microservices</x:v>
      </x:c>
      <x:c r="E11" s="55" t="str">
        <x:v>5k-user coordination load is small</x:v>
      </x:c>
      <x:c r="F11" s="55" t="str">
        <x:v>Capacity model</x:v>
      </x:c>
      <x:c r="G11" s="55" t="str">
        <x:v>Independent scale/team boundary appears</x:v>
      </x:c>
      <x:c r="H11" s="55" t="str">
        <x:v>Architecture</x:v>
      </x:c>
    </x:row>
    <x:row r="12" ht="52" customHeight="1">
      <x:c r="A12" s="60" t="str">
        <x:v>DECIDED</x:v>
      </x:c>
      <x:c r="B12" s="56" t="str">
        <x:v>Queue</x:v>
      </x:c>
      <x:c r="C12" s="56" t="str">
        <x:v>Postgres + pg-boss</x:v>
      </x:c>
      <x:c r="D12" s="56" t="str">
        <x:v>Kafka/Redis/SQS initially</x:v>
      </x:c>
      <x:c r="E12" s="56" t="str">
        <x:v>Transactional enqueue; fewer systems</x:v>
      </x:c>
      <x:c r="F12" s="56" t="str">
        <x:v>pg-boss/Postgres</x:v>
      </x:c>
      <x:c r="G12" s="56" t="str">
        <x:v>Oldest job lag or ownership needs separation</x:v>
      </x:c>
      <x:c r="H12" s="56" t="str">
        <x:v>Backend</x:v>
      </x:c>
    </x:row>
    <x:row r="13" ht="52" customHeight="1">
      <x:c r="A13" s="60" t="str">
        <x:v>DECIDED</x:v>
      </x:c>
      <x:c r="B13" s="55" t="str">
        <x:v>Completion</x:v>
      </x:c>
      <x:c r="C13" s="55" t="str">
        <x:v>Per-device SAVED_LOCALLY matrix</x:v>
      </x:c>
      <x:c r="D13" s="55" t="str">
        <x:v>Upload-complete</x:v>
      </x:c>
      <x:c r="E13" s="55" t="str">
        <x:v>Promise is possession, not cloud copy</x:v>
      </x:c>
      <x:c r="F13" s="55" t="str">
        <x:v>Product contract</x:v>
      </x:c>
      <x:c r="G13" s="55" t="str">
        <x:v>Never</x:v>
      </x:c>
      <x:c r="H13" s="55" t="str">
        <x:v>Product/backend</x:v>
      </x:c>
    </x:row>
    <x:row r="14" ht="52" customHeight="1">
      <x:c r="A14" s="60" t="str">
        <x:v>DECIDED</x:v>
      </x:c>
      <x:c r="B14" s="56" t="str">
        <x:v>Minimum platforms</x:v>
      </x:c>
      <x:c r="C14" s="56" t="str">
        <x:v>iOS 16.4+ and Android API 30+</x:v>
      </x:c>
      <x:c r="D14" s="56" t="str">
        <x:v>Compatibility branches</x:v>
      </x:c>
      <x:c r="E14" s="56" t="str">
        <x:v>Expo 57 floor and generation-based reconciliation</x:v>
      </x:c>
      <x:c r="F14" s="56" t="str">
        <x:v>Expo/Apple/Android docs</x:v>
      </x:c>
      <x:c r="G14" s="56" t="str">
        <x:v>New major release planning only</x:v>
      </x:c>
      <x:c r="H14" s="56" t="str">
        <x:v>Product/mobile</x:v>
      </x:c>
    </x:row>
    <x:row r="15" ht="52" customHeight="1">
      <x:c r="A15" s="60" t="str">
        <x:v>DECIDED</x:v>
      </x:c>
      <x:c r="B15" s="55" t="str">
        <x:v>Recipient identity</x:v>
      </x:c>
      <x:c r="C15" s="55" t="str">
        <x:v>One nominated participating device per member</x:v>
      </x:c>
      <x:c r="D15" s="55" t="str">
        <x:v>All personal devices mandatory</x:v>
      </x:c>
      <x:c r="E15" s="55" t="str">
        <x:v>One offline secondary phone cannot block completion</x:v>
      </x:c>
      <x:c r="F15" s="55" t="str">
        <x:v>MVP contract</x:v>
      </x:c>
      <x:c r="G15" s="55" t="str">
        <x:v>Post-MVP multi-device design</x:v>
      </x:c>
      <x:c r="H15" s="55" t="str">
        <x:v>Product</x:v>
      </x:c>
    </x:row>
    <x:row r="16" ht="52" customHeight="1">
      <x:c r="A16" s="60" t="str">
        <x:v>DECIDED</x:v>
      </x:c>
      <x:c r="B16" s="56" t="str">
        <x:v>Storage provider</x:v>
      </x:c>
      <x:c r="C16" s="56" t="str">
        <x:v>Private AWS S3 bucket</x:v>
      </x:c>
      <x:c r="D16" s="56" t="str">
        <x:v>R2/provider abstraction</x:v>
      </x:c>
      <x:c r="E16" s="56" t="str">
        <x:v>One proven checksum/signing/deletion path</x:v>
      </x:c>
      <x:c r="F16" s="56" t="str">
        <x:v>AWS primary docs</x:v>
      </x:c>
      <x:c r="G16" s="56" t="str">
        <x:v>Post-MVP architecture review</x:v>
      </x:c>
      <x:c r="H16" s="56" t="str">
        <x:v>Backend/SRE</x:v>
      </x:c>
    </x:row>
    <x:row r="18" ht="22" customHeight="1">
      <x:c r="A18" s="10" t="str">
        <x:v>Risk register</x:v>
      </x:c>
      <x:c r="B18" s="10"/>
      <x:c r="C18" s="10"/>
      <x:c r="D18" s="10"/>
      <x:c r="E18" s="10"/>
      <x:c r="F18" s="10"/>
      <x:c r="G18" s="10"/>
      <x:c r="H18" s="10"/>
    </x:row>
    <x:row r="19" ht="28" customHeight="1">
      <x:c r="A19" s="51" t="str">
        <x:v>Severity</x:v>
      </x:c>
      <x:c r="B19" s="51" t="str">
        <x:v>Risk</x:v>
      </x:c>
      <x:c r="C19" s="51" t="str">
        <x:v>Likelihood</x:v>
      </x:c>
      <x:c r="D19" s="51" t="str">
        <x:v>Impact</x:v>
      </x:c>
      <x:c r="E19" s="51" t="str">
        <x:v>Mitigation</x:v>
      </x:c>
      <x:c r="F19" s="51" t="str">
        <x:v>Evidence / metric</x:v>
      </x:c>
      <x:c r="G19" s="51" t="str">
        <x:v>Owner</x:v>
      </x:c>
      <x:c r="H19" s="51" t="str">
        <x:v>State</x:v>
      </x:c>
    </x:row>
    <x:row r="20" ht="54" customHeight="1">
      <x:c r="A20" s="68" t="str">
        <x:v>HIGH</x:v>
      </x:c>
      <x:c r="B20" s="55" t="str">
        <x:v>iOS scheduling does not feel instant</x:v>
      </x:c>
      <x:c r="C20" s="55" t="str">
        <x:v>High</x:v>
      </x:c>
      <x:c r="D20" s="55" t="str">
        <x:v>High</x:v>
      </x:c>
      <x:c r="E20" s="55" t="str">
        <x:v>Foreground observer, preview-first lane, persistent reconciliation, honest force-quit UI</x:v>
      </x:c>
      <x:c r="F20" s="55" t="str">
        <x:v>Physical-device timing distribution</x:v>
      </x:c>
      <x:c r="G20" s="55" t="str">
        <x:v>Mobile iOS</x:v>
      </x:c>
      <x:c r="H20" s="55" t="str">
        <x:v>Open</x:v>
      </x:c>
    </x:row>
    <x:row r="21" ht="54" customHeight="1">
      <x:c r="A21" s="68" t="str">
        <x:v>HIGH</x:v>
      </x:c>
      <x:c r="B21" s="56" t="str">
        <x:v>Broad photo permission rejected by user/store</x:v>
      </x:c>
      <x:c r="C21" s="56" t="str">
        <x:v>Medium</x:v>
      </x:c>
      <x:c r="D21" s="56" t="str">
        <x:v>High</x:v>
      </x:c>
      <x:c r="E21" s="56" t="str">
        <x:v>Just-in-time explanation; core-use declaration; privacy review</x:v>
      </x:c>
      <x:c r="F21" s="56" t="str">
        <x:v>Permission conversion + store review</x:v>
      </x:c>
      <x:c r="G21" s="56" t="str">
        <x:v>Product/privacy</x:v>
      </x:c>
      <x:c r="H21" s="56" t="str">
        <x:v>Open</x:v>
      </x:c>
    </x:row>
    <x:row r="22" ht="54" customHeight="1">
      <x:c r="A22" s="68" t="str">
        <x:v>HIGH</x:v>
      </x:c>
      <x:c r="B22" s="55" t="str">
        <x:v>One-to-nine photo fan-out cost and battery</x:v>
      </x:c>
      <x:c r="C22" s="55" t="str">
        <x:v>Medium</x:v>
      </x:c>
      <x:c r="D22" s="55" t="str">
        <x:v>High</x:v>
      </x:c>
      <x:c r="E22" s="55" t="str">
        <x:v>Preview-first lanes, 50 MiB cap, exact retention audit, direct S3</x:v>
      </x:c>
      <x:c r="F22" s="55" t="str">
        <x:v>GB delivered/user/day and cost/active trip</x:v>
      </x:c>
      <x:c r="G22" s="55" t="str">
        <x:v>Product/backend</x:v>
      </x:c>
      <x:c r="H22" s="55" t="str">
        <x:v>Open</x:v>
      </x:c>
    </x:row>
    <x:row r="23" ht="54" customHeight="1">
      <x:c r="A23" s="68" t="str">
        <x:v>HIGH</x:v>
      </x:c>
      <x:c r="B23" s="56" t="str">
        <x:v>False completion due to receipt bug</x:v>
      </x:c>
      <x:c r="C23" s="56" t="str">
        <x:v>Low</x:v>
      </x:c>
      <x:c r="D23" s="56" t="str">
        <x:v>Critical</x:v>
      </x:c>
      <x:c r="E23" s="56" t="str">
        <x:v>Post-save receipt only; monotonic states; reconciliation audit</x:v>
      </x:c>
      <x:c r="F23" s="56" t="str">
        <x:v>Fault injection and library verification</x:v>
      </x:c>
      <x:c r="G23" s="56" t="str">
        <x:v>Mobile/backend</x:v>
      </x:c>
      <x:c r="H23" s="56" t="str">
        <x:v>Open</x:v>
      </x:c>
    </x:row>
    <x:row r="24" ht="54" customHeight="1">
      <x:c r="A24" s="72" t="str">
        <x:v>MEDIUM</x:v>
      </x:c>
      <x:c r="B24" s="55" t="str">
        <x:v>Source asset removed before spool</x:v>
      </x:c>
      <x:c r="C24" s="55" t="str">
        <x:v>Medium</x:v>
      </x:c>
      <x:c r="D24" s="55" t="str">
        <x:v>Medium</x:v>
      </x:c>
      <x:c r="E24" s="55" t="str">
        <x:v>Record early; visible SOURCE_MISSING; reconcile</x:v>
      </x:c>
      <x:c r="F24" s="55" t="str">
        <x:v>Deletion race test</x:v>
      </x:c>
      <x:c r="G24" s="55" t="str">
        <x:v>Mobile</x:v>
      </x:c>
      <x:c r="H24" s="55" t="str">
        <x:v>Open</x:v>
      </x:c>
    </x:row>
    <x:row r="25" ht="54" customHeight="1">
      <x:c r="A25" s="72" t="str">
        <x:v>MEDIUM</x:v>
      </x:c>
      <x:c r="B25" s="56" t="str">
        <x:v>Object outlives policy</x:v>
      </x:c>
      <x:c r="C25" s="56" t="str">
        <x:v>Low</x:v>
      </x:c>
      <x:c r="D25" s="56" t="str">
        <x:v>High</x:v>
      </x:c>
      <x:c r="E25" s="56" t="str">
        <x:v>Application cleanup + independent bucket lifecycle + inventory audit</x:v>
      </x:c>
      <x:c r="F25" s="56" t="str">
        <x:v>Daily overdue-object metric</x:v>
      </x:c>
      <x:c r="G25" s="56" t="str">
        <x:v>Backend/security</x:v>
      </x:c>
      <x:c r="H25" s="56" t="str">
        <x:v>Open</x:v>
      </x:c>
    </x:row>
    <x:row r="26" ht="54" customHeight="1">
      <x:c r="A26" s="72" t="str">
        <x:v>MEDIUM</x:v>
      </x:c>
      <x:c r="B26" s="55" t="str">
        <x:v>Key loss on device reinstall</x:v>
      </x:c>
      <x:c r="C26" s="55" t="str">
        <x:v>Medium</x:v>
      </x:c>
      <x:c r="D26" s="55" t="str">
        <x:v>High</x:v>
      </x:c>
      <x:c r="E26" s="55" t="str">
        <x:v>Participating device freezes at start; show exact incomplete blocker; revoke on reinstall</x:v>
      </x:c>
      <x:c r="F26" s="55" t="str">
        <x:v>Reinstall acceptance</x:v>
      </x:c>
      <x:c r="G26" s="55" t="str">
        <x:v>Security/product</x:v>
      </x:c>
      <x:c r="H26" s="55" t="str">
        <x:v>Open</x:v>
      </x:c>
    </x:row>
    <x:row r="27" ht="54" customHeight="1">
      <x:c r="A27" s="72" t="str">
        <x:v>MEDIUM</x:v>
      </x:c>
      <x:c r="B27" s="56" t="str">
        <x:v>OEM Android background restrictions</x:v>
      </x:c>
      <x:c r="C27" s="56" t="str">
        <x:v>Medium</x:v>
      </x:c>
      <x:c r="D27" s="56" t="str">
        <x:v>Medium</x:v>
      </x:c>
      <x:c r="E27" s="56" t="str">
        <x:v>WorkManager, foreground transfer when user-visible, reconciliation on launch</x:v>
      </x:c>
      <x:c r="F27" s="56" t="str">
        <x:v>OEM device farm</x:v>
      </x:c>
      <x:c r="G27" s="56" t="str">
        <x:v>Mobile Android</x:v>
      </x:c>
      <x:c r="H27" s="56" t="str">
        <x:v>Open</x:v>
      </x:c>
    </x:row>
    <x:row r="28" ht="54" customHeight="1">
      <x:c r="A28" s="60" t="str">
        <x:v>LOW</x:v>
      </x:c>
      <x:c r="B28" s="55" t="str">
        <x:v>Postgres queue saturation</x:v>
      </x:c>
      <x:c r="C28" s="55" t="str">
        <x:v>Low</x:v>
      </x:c>
      <x:c r="D28" s="55" t="str">
        <x:v>Medium</x:v>
      </x:c>
      <x:c r="E28" s="55" t="str">
        <x:v>Index/lag metrics; worker scaling; later SQS extraction</x:v>
      </x:c>
      <x:c r="F28" s="55" t="str">
        <x:v>Oldest job age and DB lock metrics</x:v>
      </x:c>
      <x:c r="G28" s="55" t="str">
        <x:v>Backend</x:v>
      </x:c>
      <x:c r="H28" s="55" t="str">
        <x:v>Open</x:v>
      </x:c>
    </x:row>
  </x:sheetData>
  <x:mergeCells>
    <x:mergeCell ref="A1:H2"/>
    <x:mergeCell ref="A3:H3"/>
    <x:mergeCell ref="A5:H5"/>
    <x:mergeCell ref="A18:H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48" hidden="0" customWidth="1"/>
    <x:col min="5" max="5" width="78" hidden="0" customWidth="1"/>
    <x:col min="6" max="6" width="14" hidden="0" customWidth="1"/>
  </x:cols>
  <x:sheetData>
    <x:row r="1" ht="26" customHeight="1">
      <x:c r="A1" s="3" t="str">
        <x:v>Sources</x:v>
      </x:c>
      <x:c r="B1" s="3"/>
      <x:c r="C1" s="3"/>
      <x:c r="D1" s="3"/>
      <x:c r="E1" s="3"/>
      <x:c r="F1" s="3"/>
    </x:row>
    <x:row r="2" ht="12" customHeight="1">
      <x:c r="A2" s="3"/>
      <x:c r="B2" s="3"/>
      <x:c r="C2" s="3"/>
      <x:c r="D2" s="3"/>
      <x:c r="E2" s="3"/>
      <x:c r="F2" s="3"/>
    </x:row>
    <x:row r="3" ht="30" customHeight="1">
      <x:c r="A3" s="7" t="str">
        <x:v>Primary platform/vendor references reviewed 2026-08-28. Pricing is a snapshot and must be refreshed before purchase.</x:v>
      </x:c>
      <x:c r="B3" s="7"/>
      <x:c r="C3" s="7"/>
      <x:c r="D3" s="7"/>
      <x:c r="E3" s="7"/>
      <x:c r="F3" s="7"/>
    </x:row>
    <x:row r="5" ht="28" customHeight="1">
      <x:c r="A5" s="51" t="str">
        <x:v>Workstream</x:v>
      </x:c>
      <x:c r="B5" s="51" t="str">
        <x:v>Publisher</x:v>
      </x:c>
      <x:c r="C5" s="51" t="str">
        <x:v>Reference</x:v>
      </x:c>
      <x:c r="D5" s="51" t="str">
        <x:v>Used for</x:v>
      </x:c>
      <x:c r="E5" s="51" t="str">
        <x:v>URL</x:v>
      </x:c>
      <x:c r="F5" s="51" t="str">
        <x:v>Quality</x:v>
      </x:c>
    </x:row>
    <x:row r="6" ht="44" customHeight="1">
      <x:c r="A6" s="55" t="str">
        <x:v>Mobile OS</x:v>
      </x:c>
      <x:c r="B6" s="55" t="str">
        <x:v>Apple</x:v>
      </x:c>
      <x:c r="C6" s="55" t="str">
        <x:v>PhotoKit persistent changes</x:v>
      </x:c>
      <x:c r="D6" s="55" t="str">
        <x:v>Durable reconciliation cursor for missed library changes</x:v>
      </x:c>
      <x:c r="E6" s="55" t="str">
        <x:v>https://developer.apple.com/documentation/photos/phphotolibrary/fetchpersistentchanges(since:)</x:v>
      </x:c>
      <x:c r="F6" s="60" t="str">
        <x:v>Primary</x:v>
      </x:c>
    </x:row>
    <x:row r="7" ht="44" customHeight="1">
      <x:c r="A7" s="56" t="str">
        <x:v>Mobile OS</x:v>
      </x:c>
      <x:c r="B7" s="56" t="str">
        <x:v>Apple</x:v>
      </x:c>
      <x:c r="C7" s="56" t="str">
        <x:v>Background URLSession</x:v>
      </x:c>
      <x:c r="D7" s="56" t="str">
        <x:v>Transfers may continue after system termination; force-quit cancels</x:v>
      </x:c>
      <x:c r="E7" s="56" t="str">
        <x:v>https://developer.apple.com/documentation/foundation/urlsessionconfiguration/background(withidentifier:)</x:v>
      </x:c>
      <x:c r="F7" s="60" t="str">
        <x:v>Primary</x:v>
      </x:c>
    </x:row>
    <x:row r="8" ht="44" customHeight="1">
      <x:c r="A8" s="55" t="str">
        <x:v>Mobile OS</x:v>
      </x:c>
      <x:c r="B8" s="55" t="str">
        <x:v>Apple</x:v>
      </x:c>
      <x:c r="C8" s="55" t="str">
        <x:v>Background push</x:v>
      </x:c>
      <x:c r="D8" s="55" t="str">
        <x:v>Wake-up mechanism only; delivery not treated as durable</x:v>
      </x:c>
      <x:c r="E8" s="55" t="str">
        <x:v>https://developer.apple.com/documentation/usernotifications/pushing-background-updates-to-your-app</x:v>
      </x:c>
      <x:c r="F8" s="60" t="str">
        <x:v>Primary</x:v>
      </x:c>
    </x:row>
    <x:row r="9" ht="44" customHeight="1">
      <x:c r="A9" s="56" t="str">
        <x:v>Mobile OS</x:v>
      </x:c>
      <x:c r="B9" s="56" t="str">
        <x:v>Android</x:v>
      </x:c>
      <x:c r="C9" s="56" t="str">
        <x:v>MediaStore</x:v>
      </x:c>
      <x:c r="D9" s="56" t="str">
        <x:v>Shared-media access and restricted broad permission warning</x:v>
      </x:c>
      <x:c r="E9" s="56" t="str">
        <x:v>https://developer.android.com/training/data-storage/shared/media</x:v>
      </x:c>
      <x:c r="F9" s="60" t="str">
        <x:v>Primary</x:v>
      </x:c>
    </x:row>
    <x:row r="10" ht="44" customHeight="1">
      <x:c r="A10" s="55" t="str">
        <x:v>Mobile OS</x:v>
      </x:c>
      <x:c r="B10" s="55" t="str">
        <x:v>Android</x:v>
      </x:c>
      <x:c r="C10" s="55" t="str">
        <x:v>TriggerContentUri</x:v>
      </x:c>
      <x:c r="D10" s="55" t="str">
        <x:v>Content URI change trigger</x:v>
      </x:c>
      <x:c r="E10" s="55" t="str">
        <x:v>https://developer.android.com/reference/android/app/job/JobInfo.TriggerContentUri</x:v>
      </x:c>
      <x:c r="F10" s="60" t="str">
        <x:v>Primary</x:v>
      </x:c>
    </x:row>
    <x:row r="11" ht="44" customHeight="1">
      <x:c r="A11" s="56" t="str">
        <x:v>Mobile OS</x:v>
      </x:c>
      <x:c r="B11" s="56" t="str">
        <x:v>Android</x:v>
      </x:c>
      <x:c r="C11" s="56" t="str">
        <x:v>WorkManager</x:v>
      </x:c>
      <x:c r="D11" s="56" t="str">
        <x:v>Persistent work across restarts/reboots with constraints</x:v>
      </x:c>
      <x:c r="E11" s="56" t="str">
        <x:v>https://developer.android.com/develop/background-work/background-tasks/persistent</x:v>
      </x:c>
      <x:c r="F11" s="60" t="str">
        <x:v>Primary</x:v>
      </x:c>
    </x:row>
    <x:row r="12" ht="44" customHeight="1">
      <x:c r="A12" s="55" t="str">
        <x:v>Policy</x:v>
      </x:c>
      <x:c r="B12" s="55" t="str">
        <x:v>Google Play</x:v>
      </x:c>
      <x:c r="C12" s="55" t="str">
        <x:v>Restricted photo/video permissions</x:v>
      </x:c>
      <x:c r="D12" s="55" t="str">
        <x:v>Broad access must be core and picker insufficient</x:v>
      </x:c>
      <x:c r="E12" s="55" t="str">
        <x:v>https://support.google.com/googleplay/android-developer/answer/14115180</x:v>
      </x:c>
      <x:c r="F12" s="60" t="str">
        <x:v>Primary</x:v>
      </x:c>
    </x:row>
    <x:row r="13" ht="44" customHeight="1">
      <x:c r="A13" s="56" t="str">
        <x:v>Expo</x:v>
      </x:c>
      <x:c r="B13" s="56" t="str">
        <x:v>Expo</x:v>
      </x:c>
      <x:c r="C13" s="56" t="str">
        <x:v>SDK 57 MediaLibrary</x:v>
      </x:c>
      <x:c r="D13" s="56" t="str">
        <x:v>Version-specific library behavior and policy warning</x:v>
      </x:c>
      <x:c r="E13" s="56" t="str">
        <x:v>https://docs.expo.dev/versions/v57.0.0/sdk/media-library/</x:v>
      </x:c>
      <x:c r="F13" s="60" t="str">
        <x:v>Primary</x:v>
      </x:c>
    </x:row>
    <x:row r="14" ht="44" customHeight="1">
      <x:c r="A14" s="55" t="str">
        <x:v>Expo</x:v>
      </x:c>
      <x:c r="B14" s="55" t="str">
        <x:v>Expo</x:v>
      </x:c>
      <x:c r="C14" s="55" t="str">
        <x:v>SDK 57 BackgroundTask</x:v>
      </x:c>
      <x:c r="D14" s="55" t="str">
        <x:v>Deferrable background work; not exact scheduling</x:v>
      </x:c>
      <x:c r="E14" s="55" t="str">
        <x:v>https://docs.expo.dev/versions/v57.0.0/sdk/background-task/</x:v>
      </x:c>
      <x:c r="F14" s="60" t="str">
        <x:v>Primary</x:v>
      </x:c>
    </x:row>
    <x:row r="15" ht="44" customHeight="1">
      <x:c r="A15" s="56" t="str">
        <x:v>Expo</x:v>
      </x:c>
      <x:c r="B15" s="56" t="str">
        <x:v>Expo</x:v>
      </x:c>
      <x:c r="C15" s="56" t="str">
        <x:v>Modules API</x:v>
      </x:c>
      <x:c r="D15" s="56" t="str">
        <x:v>Swift/Kotlin native modules and New Architecture support</x:v>
      </x:c>
      <x:c r="E15" s="56" t="str">
        <x:v>https://docs.expo.dev/modules/overview/</x:v>
      </x:c>
      <x:c r="F15" s="60" t="str">
        <x:v>Primary</x:v>
      </x:c>
    </x:row>
    <x:row r="16" ht="44" customHeight="1">
      <x:c r="A16" s="55" t="str">
        <x:v>Expo</x:v>
      </x:c>
      <x:c r="B16" s="55" t="str">
        <x:v>Expo</x:v>
      </x:c>
      <x:c r="C16" s="55" t="str">
        <x:v>Config plugins</x:v>
      </x:c>
      <x:c r="D16" s="55" t="str">
        <x:v>Install required native capabilities reproducibly</x:v>
      </x:c>
      <x:c r="E16" s="55" t="str">
        <x:v>https://docs.expo.dev/config-plugins/introduction/</x:v>
      </x:c>
      <x:c r="F16" s="60" t="str">
        <x:v>Primary</x:v>
      </x:c>
    </x:row>
    <x:row r="17" ht="44" customHeight="1">
      <x:c r="A17" s="56" t="str">
        <x:v>Crypto</x:v>
      </x:c>
      <x:c r="B17" s="56" t="str">
        <x:v>libsodium</x:v>
      </x:c>
      <x:c r="C17" s="56" t="str">
        <x:v>Secretstream</x:v>
      </x:c>
      <x:c r="D17" s="56" t="str">
        <x:v>Chunked authenticated encryption with reorder/truncation detection</x:v>
      </x:c>
      <x:c r="E17" s="56" t="str">
        <x:v>https://doc.libsodium.org/secret-key_cryptography/secretstream</x:v>
      </x:c>
      <x:c r="F17" s="60" t="str">
        <x:v>Primary</x:v>
      </x:c>
    </x:row>
    <x:row r="18" ht="44" customHeight="1">
      <x:c r="A18" s="55" t="str">
        <x:v>Storage</x:v>
      </x:c>
      <x:c r="B18" s="55" t="str">
        <x:v>AWS</x:v>
      </x:c>
      <x:c r="C18" s="55" t="str">
        <x:v>S3 checksums</x:v>
      </x:c>
      <x:c r="D18" s="55" t="str">
        <x:v>Verify write-once ciphertext upload integrity</x:v>
      </x:c>
      <x:c r="E18" s="55" t="str">
        <x:v>https://docs.aws.amazon.com/AmazonS3/latest/userguide/checking-object-integrity-upload.html</x:v>
      </x:c>
      <x:c r="F18" s="60" t="str">
        <x:v>Primary</x:v>
      </x:c>
    </x:row>
    <x:row r="19" ht="44" customHeight="1">
      <x:c r="A19" s="56" t="str">
        <x:v>Storage</x:v>
      </x:c>
      <x:c r="B19" s="56" t="str">
        <x:v>AWS</x:v>
      </x:c>
      <x:c r="C19" s="56" t="str">
        <x:v>S3 lifecycle</x:v>
      </x:c>
      <x:c r="D19" s="56" t="str">
        <x:v>Independent expiration backstop</x:v>
      </x:c>
      <x:c r="E19" s="56" t="str">
        <x:v>https://docs.aws.amazon.com/AmazonS3/latest/userguide/object-lifecycle-mgmt.html</x:v>
      </x:c>
      <x:c r="F19" s="60" t="str">
        <x:v>Primary</x:v>
      </x:c>
    </x:row>
    <x:row r="20" ht="44" customHeight="1">
      <x:c r="A20" s="55" t="str">
        <x:v>Storage</x:v>
      </x:c>
      <x:c r="B20" s="55" t="str">
        <x:v>AWS</x:v>
      </x:c>
      <x:c r="C20" s="55" t="str">
        <x:v>S3 pricing</x:v>
      </x:c>
      <x:c r="D20" s="55" t="str">
        <x:v>Usage components and egress considerations</x:v>
      </x:c>
      <x:c r="E20" s="55" t="str">
        <x:v>https://aws.amazon.com/s3/pricing/</x:v>
      </x:c>
      <x:c r="F20" s="60" t="str">
        <x:v>Primary</x:v>
      </x:c>
    </x:row>
    <x:row r="21" ht="44" customHeight="1">
      <x:c r="A21" s="56" t="str">
        <x:v>Backend</x:v>
      </x:c>
      <x:c r="B21" s="56" t="str">
        <x:v>Fastify</x:v>
      </x:c>
      <x:c r="C21" s="56" t="str">
        <x:v>Latest documentation</x:v>
      </x:c>
      <x:c r="D21" s="56" t="str">
        <x:v>API framework</x:v>
      </x:c>
      <x:c r="E21" s="56" t="str">
        <x:v>https://fastify.dev/docs/latest/</x:v>
      </x:c>
      <x:c r="F21" s="60" t="str">
        <x:v>Primary</x:v>
      </x:c>
    </x:row>
    <x:row r="22" ht="44" customHeight="1">
      <x:c r="A22" s="55" t="str">
        <x:v>Backend</x:v>
      </x:c>
      <x:c r="B22" s="55" t="str">
        <x:v>Kysely</x:v>
      </x:c>
      <x:c r="C22" s="55" t="str">
        <x:v>Typed SQL</x:v>
      </x:c>
      <x:c r="D22" s="55" t="str">
        <x:v>Explicit composable SQL typing</x:v>
      </x:c>
      <x:c r="E22" s="55" t="str">
        <x:v>https://kysely.dev/</x:v>
      </x:c>
      <x:c r="F22" s="60" t="str">
        <x:v>Primary</x:v>
      </x:c>
    </x:row>
    <x:row r="23" ht="44" customHeight="1">
      <x:c r="A23" s="56" t="str">
        <x:v>Backend</x:v>
      </x:c>
      <x:c r="B23" s="56" t="str">
        <x:v>pg-boss</x:v>
      </x:c>
      <x:c r="C23" s="56" t="str">
        <x:v>Postgres job queue</x:v>
      </x:c>
      <x:c r="D23" s="56" t="str">
        <x:v>Transactional enqueue, scheduling, backpressure, retries</x:v>
      </x:c>
      <x:c r="E23" s="56" t="str">
        <x:v>https://pgboss.io/</x:v>
      </x:c>
      <x:c r="F23" s="60" t="str">
        <x:v>Primary</x:v>
      </x:c>
    </x:row>
    <x:row r="24" ht="44" customHeight="1">
      <x:c r="A24" s="55" t="str">
        <x:v>Native</x:v>
      </x:c>
      <x:c r="B24" s="55" t="str">
        <x:v>GRDB.swift</x:v>
      </x:c>
      <x:c r="C24" s="55" t="str">
        <x:v>SQLite toolkit</x:v>
      </x:c>
      <x:c r="D24" s="55" t="str">
        <x:v>iOS durable job database</x:v>
      </x:c>
      <x:c r="E24" s="55" t="str">
        <x:v>https://github.com/groue/GRDB.swift</x:v>
      </x:c>
      <x:c r="F24" s="60" t="str">
        <x:v>Primary</x:v>
      </x:c>
    </x:row>
    <x:row r="25" ht="44" customHeight="1">
      <x:c r="A25" s="56" t="str">
        <x:v>Native</x:v>
      </x:c>
      <x:c r="B25" s="56" t="str">
        <x:v>AndroidX</x:v>
      </x:c>
      <x:c r="C25" s="56" t="str">
        <x:v>Room</x:v>
      </x:c>
      <x:c r="D25" s="56" t="str">
        <x:v>Android durable job database</x:v>
      </x:c>
      <x:c r="E25" s="56" t="str">
        <x:v>https://developer.android.com/training/data-storage/room</x:v>
      </x:c>
      <x:c r="F25" s="60" t="str">
        <x:v>Primary</x:v>
      </x:c>
    </x:row>
    <x:row r="26" ht="44" customHeight="1">
      <x:c r="A26" s="55" t="str">
        <x:v>Native</x:v>
      </x:c>
      <x:c r="B26" s="55" t="str">
        <x:v>Square</x:v>
      </x:c>
      <x:c r="C26" s="55" t="str">
        <x:v>OkHttp</x:v>
      </x:c>
      <x:c r="D26" s="55" t="str">
        <x:v>HTTP/2, pooling, TLS, network recovery</x:v>
      </x:c>
      <x:c r="E26" s="55" t="str">
        <x:v>https://square.github.io/okhttp/</x:v>
      </x:c>
      <x:c r="F26" s="60" t="str">
        <x:v>Primary</x:v>
      </x:c>
    </x:row>
    <x:row r="27" ht="44" customHeight="1">
      <x:c r="A27" s="56" t="str">
        <x:v>Auth</x:v>
      </x:c>
      <x:c r="B27" s="56" t="str">
        <x:v>Clerk</x:v>
      </x:c>
      <x:c r="C27" s="56" t="str">
        <x:v>Pricing</x:v>
      </x:c>
      <x:c r="D27" s="56" t="str">
        <x:v>Hobby/Pro pricing and included MRU snapshot</x:v>
      </x:c>
      <x:c r="E27" s="56" t="str">
        <x:v>https://clerk.com/pricing</x:v>
      </x:c>
      <x:c r="F27" s="60" t="str">
        <x:v>Primary</x:v>
      </x:c>
    </x:row>
    <x:row r="28" ht="44" customHeight="1">
      <x:c r="A28" s="55" t="str">
        <x:v>Auth</x:v>
      </x:c>
      <x:c r="B28" s="55" t="str">
        <x:v>Clerk</x:v>
      </x:c>
      <x:c r="C28" s="55" t="str">
        <x:v>Expo Sign in with Apple</x:v>
      </x:c>
      <x:c r="D28" s="55" t="str">
        <x:v>Native Expo auth path</x:v>
      </x:c>
      <x:c r="E28" s="55" t="str">
        <x:v>https://clerk.com/docs/expo/guides/configure/auth-strategies/sign-in-with-apple</x:v>
      </x:c>
      <x:c r="F28" s="60" t="str">
        <x:v>Primary</x:v>
      </x:c>
    </x:row>
    <x:row r="29" ht="44" customHeight="1">
      <x:c r="A29" s="56" t="str">
        <x:v>Push</x:v>
      </x:c>
      <x:c r="B29" s="56" t="str">
        <x:v>Firebase</x:v>
      </x:c>
      <x:c r="C29" s="56" t="str">
        <x:v>Receive messages on Apple</x:v>
      </x:c>
      <x:c r="D29" s="56" t="str">
        <x:v>FCM routes Apple messages through APNs</x:v>
      </x:c>
      <x:c r="E29" s="56" t="str">
        <x:v>https://firebase.google.com/docs/cloud-messaging/ios/receive</x:v>
      </x:c>
      <x:c r="F29" s="60" t="str">
        <x:v>Primary</x:v>
      </x:c>
    </x:row>
    <x:row r="30" ht="44" customHeight="1">
      <x:c r="A30" s="55" t="str">
        <x:v>Observability</x:v>
      </x:c>
      <x:c r="B30" s="55" t="str">
        <x:v>Sentry</x:v>
      </x:c>
      <x:c r="C30" s="55" t="str">
        <x:v>Pricing</x:v>
      </x:c>
      <x:c r="D30" s="55" t="str">
        <x:v>Developer/Team snapshot</x:v>
      </x:c>
      <x:c r="E30" s="55" t="str">
        <x:v>https://sentry.io/pricing/</x:v>
      </x:c>
      <x:c r="F30" s="60" t="str">
        <x:v>Primary</x:v>
      </x:c>
    </x:row>
    <x:row r="31" ht="44" customHeight="1">
      <x:c r="A31" s="56" t="str">
        <x:v>Analytics</x:v>
      </x:c>
      <x:c r="B31" s="56" t="str">
        <x:v>PostHog</x:v>
      </x:c>
      <x:c r="C31" s="56" t="str">
        <x:v>Product analytics pricing</x:v>
      </x:c>
      <x:c r="D31" s="56" t="str">
        <x:v>1M events/month free snapshot</x:v>
      </x:c>
      <x:c r="E31" s="56" t="str">
        <x:v>https://posthog.com/product-analytics/pricing</x:v>
      </x:c>
      <x:c r="F31" s="60" t="str">
        <x:v>Primary</x:v>
      </x:c>
    </x:row>
    <x:row r="32" ht="44" customHeight="1">
      <x:c r="A32" s="55" t="str">
        <x:v>Testing</x:v>
      </x:c>
      <x:c r="B32" s="55" t="str">
        <x:v>Maestro</x:v>
      </x:c>
      <x:c r="C32" s="55" t="str">
        <x:v>React Native support</x:v>
      </x:c>
      <x:c r="D32" s="55" t="str">
        <x:v>Cross-platform accessibility-layer tests; Expo/EAS ready</x:v>
      </x:c>
      <x:c r="E32" s="55" t="str">
        <x:v>https://docs.maestro.dev/get-started/supported-platform/react-native</x:v>
      </x:c>
      <x:c r="F32" s="60" t="str">
        <x:v>Primary</x:v>
      </x:c>
    </x:row>
    <x:row r="33">
      <x:c r="F33" s="119"/>
    </x:row>
    <x:row r="34">
      <x:c r="F34" s="119"/>
    </x:row>
    <x:row r="35">
      <x:c r="F35" s="119"/>
    </x:row>
    <x:row r="36">
      <x:c r="F36" s="119"/>
    </x:row>
  </x:sheetData>
  <x:mergeCells>
    <x:mergeCell ref="A1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32" hidden="0" customWidth="1"/>
    <x:col min="4" max="4" width="40" hidden="0" customWidth="1"/>
    <x:col min="5" max="5" width="23" hidden="0" customWidth="1"/>
    <x:col min="6" max="6" width="27" hidden="0" customWidth="1"/>
    <x:col min="7" max="7" width="35" hidden="0" customWidth="1"/>
    <x:col min="8" max="8" width="42" hidden="0" customWidth="1"/>
  </x:cols>
  <x:sheetData>
    <x:row r="1" ht="26" customHeight="1">
      <x:c r="A1" s="3" t="str">
        <x:v>Product Contract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7" t="str">
        <x:v>What CrewRoll promises, what the operating systems permit, and what the MVP deliberately refuses to imply.</x:v>
      </x:c>
      <x:c r="B3" s="7"/>
      <x:c r="C3" s="7"/>
      <x:c r="D3" s="7"/>
      <x:c r="E3" s="7"/>
      <x:c r="F3" s="7"/>
      <x:c r="G3" s="7"/>
      <x:c r="H3" s="7"/>
    </x:row>
    <x:row r="5" ht="22" customHeight="1">
      <x:c r="A5" s="10" t="str">
        <x:v>User-visible contract</x:v>
      </x:c>
      <x:c r="B5" s="10"/>
      <x:c r="C5" s="10"/>
      <x:c r="D5" s="10"/>
      <x:c r="E5" s="10"/>
      <x:c r="F5" s="10"/>
      <x:c r="G5" s="10"/>
      <x:c r="H5" s="10"/>
    </x:row>
    <x:row r="6" ht="28" customHeight="1">
      <x:c r="A6" s="51" t="str">
        <x:v>Area</x:v>
      </x:c>
      <x:c r="B6" s="51" t="str">
        <x:v>CrewRoll promises</x:v>
      </x:c>
      <x:c r="C6" s="51" t="str">
        <x:v>Condition</x:v>
      </x:c>
      <x:c r="D6" s="51" t="str">
        <x:v>How it is proved</x:v>
      </x:c>
      <x:c r="E6" s="51" t="str">
        <x:v>User-visible state</x:v>
      </x:c>
      <x:c r="F6" s="51" t="str">
        <x:v>Never claim</x:v>
      </x:c>
      <x:c r="G6" s="51" t="str">
        <x:v>Owner</x:v>
      </x:c>
      <x:c r="H6" s="51" t="str">
        <x:v>Release gate</x:v>
      </x:c>
    </x:row>
    <x:row r="7" ht="54" customHeight="1">
      <x:c r="A7" s="55" t="str">
        <x:v>Eligibility</x:v>
      </x:c>
      <x:c r="B7" s="55" t="str">
        <x:v>New photo-library images during ACTIVE are considered</x:v>
      </x:c>
      <x:c r="C7" s="55" t="str">
        <x:v>Full access; screenshot/download/received exclusions</x:v>
      </x:c>
      <x:c r="D7" s="55" t="str">
        <x:v>Persistent cursor and source-ID HMAC ledger</x:v>
      </x:c>
      <x:c r="E7" s="55" t="str">
        <x:v>Watching for new photos</x:v>
      </x:c>
      <x:c r="F7" s="55" t="str">
        <x:v>Infallible stock-camera origin</x:v>
      </x:c>
      <x:c r="G7" s="55" t="str">
        <x:v>Native</x:v>
      </x:c>
      <x:c r="H7" s="55" t="str">
        <x:v>Yes</x:v>
      </x:c>
    </x:row>
    <x:row r="8" ht="54" customHeight="1">
      <x:c r="A8" s="56" t="str">
        <x:v>Speed</x:v>
      </x:c>
      <x:c r="B8" s="56" t="str">
        <x:v>Preview arrives before exact original</x:v>
      </x:c>
      <x:c r="C8" s="56" t="str">
        <x:v>Healthy network and cooperative OS</x:v>
      </x:c>
      <x:c r="D8" s="56" t="str">
        <x:v>Stage timestamps from discovery to render</x:v>
      </x:c>
      <x:c r="E8" s="56" t="str">
        <x:v>Photo appears, original still finishing</x:v>
      </x:c>
      <x:c r="F8" s="56" t="str">
        <x:v>Exact background delivery time</x:v>
      </x:c>
      <x:c r="G8" s="56" t="str">
        <x:v>Mobile</x:v>
      </x:c>
      <x:c r="H8" s="56" t="str">
        <x:v>Yes</x:v>
      </x:c>
    </x:row>
    <x:row r="9" ht="54" customHeight="1">
      <x:c r="A9" s="55" t="str">
        <x:v>Quality</x:v>
      </x:c>
      <x:c r="B9" s="55" t="str">
        <x:v>Saved original bytes equal source bytes</x:v>
      </x:c>
      <x:c r="C9" s="55" t="str">
        <x:v>Source remains available until encrypted</x:v>
      </x:c>
      <x:c r="D9" s="55" t="str">
        <x:v>Plaintext hash inside encrypted manifest</x:v>
      </x:c>
      <x:c r="E9" s="55" t="str">
        <x:v>Original saved</x:v>
      </x:c>
      <x:c r="F9" s="55" t="str">
        <x:v>Recompressed original</x:v>
      </x:c>
      <x:c r="G9" s="55" t="str">
        <x:v>Native</x:v>
      </x:c>
      <x:c r="H9" s="55" t="str">
        <x:v>Yes</x:v>
      </x:c>
    </x:row>
    <x:row r="10" ht="54" customHeight="1">
      <x:c r="A10" s="56" t="str">
        <x:v>Privacy</x:v>
      </x:c>
      <x:c r="B10" s="56" t="str">
        <x:v>Media is encrypted before upload</x:v>
      </x:c>
      <x:c r="C10" s="56" t="str">
        <x:v>Valid device/trip keys</x:v>
      </x:c>
      <x:c r="D10" s="56" t="str">
        <x:v>Golden vectors plus server inability test</x:v>
      </x:c>
      <x:c r="E10" s="56" t="str">
        <x:v>End-to-end encrypted</x:v>
      </x:c>
      <x:c r="F10" s="56" t="str">
        <x:v>Server can recover media</x:v>
      </x:c>
      <x:c r="G10" s="56" t="str">
        <x:v>Security</x:v>
      </x:c>
      <x:c r="H10" s="56" t="str">
        <x:v>Yes</x:v>
      </x:c>
    </x:row>
    <x:row r="11" ht="54" customHeight="1">
      <x:c r="A11" s="55" t="str">
        <x:v>Reliability</x:v>
      </x:c>
      <x:c r="B11" s="55" t="str">
        <x:v>Every stage resumes from durable state</x:v>
      </x:c>
      <x:c r="C11" s="55" t="str">
        <x:v>Not deliberately force-stopped forever</x:v>
      </x:c>
      <x:c r="D11" s="55" t="str">
        <x:v>Process-kill/reboot/offline suite</x:v>
      </x:c>
      <x:c r="E11" s="55" t="str">
        <x:v>Retrying automatically</x:v>
      </x:c>
      <x:c r="F11" s="55" t="str">
        <x:v>Push equals delivery</x:v>
      </x:c>
      <x:c r="G11" s="55" t="str">
        <x:v>All</x:v>
      </x:c>
      <x:c r="H11" s="55" t="str">
        <x:v>Yes</x:v>
      </x:c>
    </x:row>
    <x:row r="12" ht="54" customHeight="1">
      <x:c r="A12" s="56" t="str">
        <x:v>Completion</x:v>
      </x:c>
      <x:c r="B12" s="56" t="str">
        <x:v>Every frozen participating device saved every asset</x:v>
      </x:c>
      <x:c r="C12" s="56" t="str">
        <x:v>All required SAVED_LOCALLY receipts accepted</x:v>
      </x:c>
      <x:c r="D12" s="56" t="str">
        <x:v>Asset-by-member reconciliation matrix</x:v>
      </x:c>
      <x:c r="E12" s="56" t="str">
        <x:v>Everyone has everything</x:v>
      </x:c>
      <x:c r="F12" s="56" t="str">
        <x:v>Complete after upload/download only</x:v>
      </x:c>
      <x:c r="G12" s="56" t="str">
        <x:v>Backend</x:v>
      </x:c>
      <x:c r="H12" s="56" t="str">
        <x:v>Yes</x:v>
      </x:c>
    </x:row>
    <x:row r="13" ht="54" customHeight="1">
      <x:c r="A13" s="55" t="str">
        <x:v>Deletion</x:v>
      </x:c>
      <x:c r="B13" s="55" t="str">
        <x:v>Ciphertext is temporary</x:v>
      </x:c>
      <x:c r="C13" s="55" t="str">
        <x:v>All saved or hard expiry</x:v>
      </x:c>
      <x:c r="D13" s="55" t="str">
        <x:v>S3 head/delete audit and database state</x:v>
      </x:c>
      <x:c r="E13" s="55" t="str">
        <x:v>Temporary copy deleted</x:v>
      </x:c>
      <x:c r="F13" s="55" t="str">
        <x:v>Exact deletion of users' library copies</x:v>
      </x:c>
      <x:c r="G13" s="55" t="str">
        <x:v>Backend</x:v>
      </x:c>
      <x:c r="H13" s="55" t="str">
        <x:v>Yes</x:v>
      </x:c>
    </x:row>
    <x:row r="15" ht="22" customHeight="1">
      <x:c r="A15" s="10" t="str">
        <x:v>Operating-system truths</x:v>
      </x:c>
      <x:c r="B15" s="10"/>
      <x:c r="C15" s="10"/>
      <x:c r="D15" s="10"/>
      <x:c r="E15" s="10"/>
      <x:c r="F15" s="10"/>
      <x:c r="G15" s="10"/>
      <x:c r="H15" s="10"/>
    </x:row>
    <x:row r="16" ht="28" customHeight="1">
      <x:c r="A16" s="51" t="str">
        <x:v>Platform</x:v>
      </x:c>
      <x:c r="B16" s="51" t="str">
        <x:v>Normal fast path</x:v>
      </x:c>
      <x:c r="C16" s="51" t="str">
        <x:v>Durable reconciliation</x:v>
      </x:c>
      <x:c r="D16" s="51" t="str">
        <x:v>Explicit stop behavior</x:v>
      </x:c>
      <x:c r="E16" s="51" t="str">
        <x:v>Recovery</x:v>
      </x:c>
      <x:c r="F16" s="51" t="str">
        <x:v>Permission</x:v>
      </x:c>
      <x:c r="G16" s="51" t="str">
        <x:v>Product copy</x:v>
      </x:c>
      <x:c r="H16" s="51" t="str">
        <x:v>Implementation consequence</x:v>
      </x:c>
    </x:row>
    <x:row r="17" ht="64" customHeight="1">
      <x:c r="A17" s="55" t="str">
        <x:v>iOS</x:v>
      </x:c>
      <x:c r="B17" s="55" t="str">
        <x:v>PhotoKit observer + background URLSession</x:v>
      </x:c>
      <x:c r="C17" s="55" t="str">
        <x:v>Persistent PhotoKit change token</x:v>
      </x:c>
      <x:c r="D17" s="55" t="str">
        <x:v>Force-quit cancels transfers and prevents relaunch</x:v>
      </x:c>
      <x:c r="E17" s="55" t="str">
        <x:v>Open CrewRoll</x:v>
      </x:c>
      <x:c r="F17" s="55" t="str">
        <x:v>Full Photos access</x:v>
      </x:c>
      <x:c r="G17" s="55" t="str">
        <x:v>Keep CrewRoll running during your trip</x:v>
      </x:c>
      <x:c r="H17" s="55" t="str">
        <x:v>No raw PhotoKit upload extension; encrypt first</x:v>
      </x:c>
    </x:row>
    <x:row r="18" ht="64" customHeight="1">
      <x:c r="A18" s="56" t="str">
        <x:v>Android</x:v>
      </x:c>
      <x:c r="B18" s="56" t="str">
        <x:v>ContentObserver + TriggerContentUri + WorkManager</x:v>
      </x:c>
      <x:c r="C18" s="56" t="str">
        <x:v>MediaStore version/generation</x:v>
      </x:c>
      <x:c r="D18" s="56" t="str">
        <x:v>Settings force-stop disables scheduled work</x:v>
      </x:c>
      <x:c r="E18" s="56" t="str">
        <x:v>Open CrewRoll</x:v>
      </x:c>
      <x:c r="F18" s="56" t="str">
        <x:v>Broad image access declaration</x:v>
      </x:c>
      <x:c r="G18" s="56" t="str">
        <x:v>Force-stop pauses automatic sharing</x:v>
      </x:c>
      <x:c r="H18" s="56" t="str">
        <x:v>API 30 minimum; generation path only</x:v>
      </x:c>
    </x:row>
  </x:sheetData>
  <x:mergeCells>
    <x:mergeCell ref="A1:H2"/>
    <x:mergeCell ref="A3:H3"/>
    <x:mergeCell ref="A5:H5"/>
    <x:mergeCell ref="A15:H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38" hidden="0" customWidth="1"/>
    <x:col min="5" max="5" width="32" hidden="0" customWidth="1"/>
    <x:col min="6" max="6" width="28" hidden="0" customWidth="1"/>
    <x:col min="7" max="7" width="30" hidden="0" customWidth="1"/>
    <x:col min="8" max="8" width="36" hidden="0" customWidth="1"/>
  </x:cols>
  <x:sheetData>
    <x:row r="1" ht="26" customHeight="1">
      <x:c r="A1" s="3" t="str">
        <x:v>Modules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7" t="str">
        <x:v>Bounded responsibilities and dependency rules for the Expo app, native engine, and modular-monolith control plane.</x:v>
      </x:c>
      <x:c r="B3" s="7"/>
      <x:c r="C3" s="7"/>
      <x:c r="D3" s="7"/>
      <x:c r="E3" s="7"/>
      <x:c r="F3" s="7"/>
      <x:c r="G3" s="7"/>
      <x:c r="H3" s="7"/>
    </x:row>
    <x:row r="5" ht="28" customHeight="1">
      <x:c r="A5" s="51" t="str">
        <x:v>Layer</x:v>
      </x:c>
      <x:c r="B5" s="51" t="str">
        <x:v>Module</x:v>
      </x:c>
      <x:c r="C5" s="51" t="str">
        <x:v>Owns</x:v>
      </x:c>
      <x:c r="D5" s="51" t="str">
        <x:v>Must not own</x:v>
      </x:c>
      <x:c r="E5" s="51" t="str">
        <x:v>Public surface</x:v>
      </x:c>
      <x:c r="F5" s="51" t="str">
        <x:v>Dependencies</x:v>
      </x:c>
      <x:c r="G5" s="51" t="str">
        <x:v>Primary tests</x:v>
      </x:c>
      <x:c r="H5" s="51" t="str">
        <x:v>Invariant</x:v>
      </x:c>
    </x:row>
    <x:row r="6" ht="54" customHeight="1">
      <x:c r="A6" s="55" t="str">
        <x:v>Mobile</x:v>
      </x:c>
      <x:c r="B6" s="55" t="str">
        <x:v>app routes</x:v>
      </x:c>
      <x:c r="C6" s="55" t="str">
        <x:v>Route params and feature-screen composition</x:v>
      </x:c>
      <x:c r="D6" s="55" t="str">
        <x:v>Business rules, networking, transfer orchestration</x:v>
      </x:c>
      <x:c r="E6" s="55" t="str">
        <x:v>Feature screen components</x:v>
      </x:c>
      <x:c r="F6" s="55" t="str">
        <x:v>features</x:v>
      </x:c>
      <x:c r="G6" s="55" t="str">
        <x:v>Thin route tests</x:v>
      </x:c>
      <x:c r="H6" s="55" t="str">
        <x:v>No logic beyond navigation</x:v>
      </x:c>
    </x:row>
    <x:row r="7" ht="54" customHeight="1">
      <x:c r="A7" s="56" t="str">
        <x:v>Mobile</x:v>
      </x:c>
      <x:c r="B7" s="56" t="str">
        <x:v>design-system</x:v>
      </x:c>
      <x:c r="C7" s="56" t="str">
        <x:v>Semantic tokens, primitives, feedback, composites</x:v>
      </x:c>
      <x:c r="D7" s="56" t="str">
        <x:v>Feature-specific server state</x:v>
      </x:c>
      <x:c r="E7" s="56" t="str">
        <x:v>Typed component APIs</x:v>
      </x:c>
      <x:c r="F7" s="56" t="str">
        <x:v>React Native only</x:v>
      </x:c>
      <x:c r="G7" s="56" t="str">
        <x:v>Accessibility/visual tests</x:v>
      </x:c>
      <x:c r="H7" s="56" t="str">
        <x:v>No raw colors in features</x:v>
      </x:c>
    </x:row>
    <x:row r="8" ht="54" customHeight="1">
      <x:c r="A8" s="55" t="str">
        <x:v>Mobile</x:v>
      </x:c>
      <x:c r="B8" s="55" t="str">
        <x:v>features</x:v>
      </x:c>
      <x:c r="C8" s="55" t="str">
        <x:v>Auth, home, trips, permissions, live roll, reconciliation</x:v>
      </x:c>
      <x:c r="D8" s="55" t="str">
        <x:v>Chunk retries or native DB writes</x:v>
      </x:c>
      <x:c r="E8" s="55" t="str">
        <x:v>Commands, queries, view models</x:v>
      </x:c>
      <x:c r="F8" s="55" t="str">
        <x:v>domain/application/infrastructure</x:v>
      </x:c>
      <x:c r="G8" s="55" t="str">
        <x:v>Component/feature tests</x:v>
      </x:c>
      <x:c r="H8" s="55" t="str">
        <x:v>Reads durable projections</x:v>
      </x:c>
    </x:row>
    <x:row r="9" ht="54" customHeight="1">
      <x:c r="A9" s="56" t="str">
        <x:v>Mobile</x:v>
      </x:c>
      <x:c r="B9" s="56" t="str">
        <x:v>infrastructure/api</x:v>
      </x:c>
      <x:c r="C9" s="56" t="str">
        <x:v>OpenAPI client, Clerk headers, problem mapping</x:v>
      </x:c>
      <x:c r="D9" s="56" t="str">
        <x:v>Domain transitions</x:v>
      </x:c>
      <x:c r="E9" s="56" t="str">
        <x:v>Typed HTTP adapter</x:v>
      </x:c>
      <x:c r="F9" s="56" t="str">
        <x:v>packages/contracts</x:v>
      </x:c>
      <x:c r="G9" s="56" t="str">
        <x:v>Contract fixtures</x:v>
      </x:c>
      <x:c r="H9" s="56" t="str">
        <x:v>No media bytes</x:v>
      </x:c>
    </x:row>
    <x:row r="10" ht="54" customHeight="1">
      <x:c r="A10" s="55" t="str">
        <x:v>Native</x:v>
      </x:c>
      <x:c r="B10" s="55" t="str">
        <x:v>Domain</x:v>
      </x:c>
      <x:c r="C10" s="55" t="str">
        <x:v>Models, monotonic transitions, ports</x:v>
      </x:c>
      <x:c r="D10" s="55" t="str">
        <x:v>PhotoKit/MediaStore/SQL/HTTP imports</x:v>
      </x:c>
      <x:c r="E10" s="55" t="str">
        <x:v>Pure functions</x:v>
      </x:c>
      <x:c r="F10" s="55" t="str">
        <x:v>Nothing</x:v>
      </x:c>
      <x:c r="G10" s="55" t="str">
        <x:v>Swift/Kotlin pure tests</x:v>
      </x:c>
      <x:c r="H10" s="55" t="str">
        <x:v>Same semantics on both OSes</x:v>
      </x:c>
    </x:row>
    <x:row r="11" ht="54" customHeight="1">
      <x:c r="A11" s="56" t="str">
        <x:v>Native</x:v>
      </x:c>
      <x:c r="B11" s="56" t="str">
        <x:v>Persistence</x:v>
      </x:c>
      <x:c r="C11" s="56" t="str">
        <x:v>GRDB/Room schema, transactions, migrations</x:v>
      </x:c>
      <x:c r="D11" s="56" t="str">
        <x:v>UI copy or API policy</x:v>
      </x:c>
      <x:c r="E11" s="56" t="str">
        <x:v>Job repositories</x:v>
      </x:c>
      <x:c r="F11" s="56" t="str">
        <x:v>Domain</x:v>
      </x:c>
      <x:c r="G11" s="56" t="str">
        <x:v>Kill/restart/migration tests</x:v>
      </x:c>
      <x:c r="H11" s="56" t="str">
        <x:v>Unique constraints enforce idempotency</x:v>
      </x:c>
    </x:row>
    <x:row r="12" ht="54" customHeight="1">
      <x:c r="A12" s="55" t="str">
        <x:v>Native</x:v>
      </x:c>
      <x:c r="B12" s="55" t="str">
        <x:v>Photos</x:v>
      </x:c>
      <x:c r="C12" s="55" t="str">
        <x:v>Discover, reconcile, materialize, exclude received assets</x:v>
      </x:c>
      <x:c r="D12" s="55" t="str">
        <x:v>HTTP and server commits</x:v>
      </x:c>
      <x:c r="E12" s="55" t="str">
        <x:v>Source streams/save results</x:v>
      </x:c>
      <x:c r="F12" s="55" t="str">
        <x:v>Domain/Persistence</x:v>
      </x:c>
      <x:c r="G12" s="55" t="str">
        <x:v>Physical-device tests</x:v>
      </x:c>
      <x:c r="H12" s="55" t="str">
        <x:v>No plaintext source staging</x:v>
      </x:c>
    </x:row>
    <x:row r="13" ht="54" customHeight="1">
      <x:c r="A13" s="56" t="str">
        <x:v>Native</x:v>
      </x:c>
      <x:c r="B13" s="56" t="str">
        <x:v>Crypto</x:v>
      </x:c>
      <x:c r="C13" s="56" t="str">
        <x:v>Keys, secretstream, hashing, encrypted manifest</x:v>
      </x:c>
      <x:c r="D13" s="56" t="str">
        <x:v>Networking or analytics</x:v>
      </x:c>
      <x:c r="E13" s="56" t="str">
        <x:v>Bounded stream API</x:v>
      </x:c>
      <x:c r="F13" s="56" t="str">
        <x:v>libsodium/secure store</x:v>
      </x:c>
      <x:c r="G13" s="56" t="str">
        <x:v>Golden vectors/tamper tests</x:v>
      </x:c>
      <x:c r="H13" s="56" t="str">
        <x:v>Keys never cross JS bridge</x:v>
      </x:c>
    </x:row>
    <x:row r="14" ht="54" customHeight="1">
      <x:c r="A14" s="55" t="str">
        <x:v>Native</x:v>
      </x:c>
      <x:c r="B14" s="55" t="str">
        <x:v>Network/Work</x:v>
      </x:c>
      <x:c r="C14" s="55" t="str">
        <x:v>Signed transfers, schedules, command outbox</x:v>
      </x:c>
      <x:c r="D14" s="55" t="str">
        <x:v>Server business state</x:v>
      </x:c>
      <x:c r="E14" s="55" t="str">
        <x:v>Pipeline ports</x:v>
      </x:c>
      <x:c r="F14" s="55" t="str">
        <x:v>Domain/Persistence</x:v>
      </x:c>
      <x:c r="G14" s="55" t="str">
        <x:v>Interruption/retry tests</x:v>
      </x:c>
      <x:c r="H14" s="55" t="str">
        <x:v>Direct S3 only</x:v>
      </x:c>
    </x:row>
    <x:row r="15" ht="54" customHeight="1">
      <x:c r="A15" s="56" t="str">
        <x:v>Backend</x:v>
      </x:c>
      <x:c r="B15" s="56" t="str">
        <x:v>identity</x:v>
      </x:c>
      <x:c r="C15" s="56" t="str">
        <x:v>Clerk actor, devices, revocation, encrypted push token</x:v>
      </x:c>
      <x:c r="D15" s="56" t="str">
        <x:v>Trip/media rules</x:v>
      </x:c>
      <x:c r="E15" s="56" t="str">
        <x:v>Authenticated actor/device</x:v>
      </x:c>
      <x:c r="F15" s="56" t="str">
        <x:v>Clerk/KMS ports</x:v>
      </x:c>
      <x:c r="G15" s="56" t="str">
        <x:v>JWT/ownership tests</x:v>
      </x:c>
      <x:c r="H15" s="56" t="str">
        <x:v>Never trust body user ID</x:v>
      </x:c>
    </x:row>
    <x:row r="16" ht="54" customHeight="1">
      <x:c r="A16" s="55" t="str">
        <x:v>Backend</x:v>
      </x:c>
      <x:c r="B16" s="55" t="str">
        <x:v>trips</x:v>
      </x:c>
      <x:c r="C16" s="55" t="str">
        <x:v>Create/join/approve/start/end and active slot</x:v>
      </x:c>
      <x:c r="D16" s="55" t="str">
        <x:v>S3 operations</x:v>
      </x:c>
      <x:c r="E16" s="55" t="str">
        <x:v>Trip application services</x:v>
      </x:c>
      <x:c r="F16" s="55" t="str">
        <x:v>Identity/repositories</x:v>
      </x:c>
      <x:c r="G16" s="55" t="str">
        <x:v>Concurrency tests</x:v>
      </x:c>
      <x:c r="H16" s="55" t="str">
        <x:v>10 cap and frozen membership</x:v>
      </x:c>
    </x:row>
    <x:row r="17" ht="54" customHeight="1">
      <x:c r="A17" s="56" t="str">
        <x:v>Backend</x:v>
      </x:c>
      <x:c r="B17" s="56" t="str">
        <x:v>uploads/assets</x:v>
      </x:c>
      <x:c r="C17" s="56" t="str">
        <x:v>Signed sessions, HEAD verify, atomic commit/fan-out</x:v>
      </x:c>
      <x:c r="D17" s="56" t="str">
        <x:v>Proxying media</x:v>
      </x:c>
      <x:c r="E17" s="56" t="str">
        <x:v>Upload and commit commands</x:v>
      </x:c>
      <x:c r="F17" s="56" t="str">
        <x:v>S3/Postgres</x:v>
      </x:c>
      <x:c r="G17" s="56" t="str">
        <x:v>S3 mock + integration</x:v>
      </x:c>
      <x:c r="H17" s="56" t="str">
        <x:v>Write-once object keys</x:v>
      </x:c>
    </x:row>
    <x:row r="18" ht="54" customHeight="1">
      <x:c r="A18" s="55" t="str">
        <x:v>Backend</x:v>
      </x:c>
      <x:c r="B18" s="55" t="str">
        <x:v>deliveries/sync</x:v>
      </x:c>
      <x:c r="C18" s="55" t="str">
        <x:v>Release, inbox cursor, download auth, receipt</x:v>
      </x:c>
      <x:c r="D18" s="55" t="str">
        <x:v>Push as state</x:v>
      </x:c>
      <x:c r="E18" s="55" t="str">
        <x:v>Ordered device projection</x:v>
      </x:c>
      <x:c r="F18" s="55" t="str">
        <x:v>Postgres/S3</x:v>
      </x:c>
      <x:c r="G18" s="55" t="str">
        <x:v>Pagination/race tests</x:v>
      </x:c>
      <x:c r="H18" s="55" t="str">
        <x:v>SAVED_LOCALLY is terminal proof</x:v>
      </x:c>
    </x:row>
    <x:row r="19" ht="54" customHeight="1">
      <x:c r="A19" s="56" t="str">
        <x:v>Backend</x:v>
      </x:c>
      <x:c r="B19" s="56" t="str">
        <x:v>lifecycle</x:v>
      </x:c>
      <x:c r="C19" s="56" t="str">
        <x:v>Reconcile, expire, purge, audit</x:v>
      </x:c>
      <x:c r="D19" s="56" t="str">
        <x:v>Deleting system-library media</x:v>
      </x:c>
      <x:c r="E19" s="56" t="str">
        <x:v>Jobs and reports</x:v>
      </x:c>
      <x:c r="F19" s="56" t="str">
        <x:v>pg-boss/S3</x:v>
      </x:c>
      <x:c r="G19" s="56" t="str">
        <x:v>Fault-injection tests</x:v>
      </x:c>
      <x:c r="H19" s="56" t="str">
        <x:v>Purge idempotently</x:v>
      </x:c>
    </x:row>
    <x:row r="20" ht="54" customHeight="1">
      <x:c r="A20" s="55" t="str">
        <x:v>Platform</x:v>
      </x:c>
      <x:c r="B20" s="55" t="str">
        <x:v>infra/terraform</x:v>
      </x:c>
      <x:c r="C20" s="55" t="str">
        <x:v>ECS, RDS, S3, KMS, VPC, IAM, alarms</x:v>
      </x:c>
      <x:c r="D20" s="55" t="str">
        <x:v>Application behavior</x:v>
      </x:c>
      <x:c r="E20" s="55" t="str">
        <x:v>Environment stacks</x:v>
      </x:c>
      <x:c r="F20" s="55" t="str">
        <x:v>AWS</x:v>
      </x:c>
      <x:c r="G20" s="55" t="str">
        <x:v>validate/policy tests</x:v>
      </x:c>
      <x:c r="H20" s="55" t="str">
        <x:v>Separate staging/prod accounts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40" hidden="0" customWidth="1"/>
    <x:col min="4" max="4" width="30" hidden="0" customWidth="1"/>
    <x:col min="5" max="5" width="34" hidden="0" customWidth="1"/>
    <x:col min="6" max="6" width="28" hidden="0" customWidth="1"/>
    <x:col min="7" max="7" width="28" hidden="0" customWidth="1"/>
    <x:col min="8" max="8" width="32" hidden="0" customWidth="1"/>
    <x:col min="9" max="9" width="32" hidden="0" customWidth="1"/>
  </x:cols>
  <x:sheetData>
    <x:row r="1" ht="26" customHeight="1">
      <x:c r="A1" s="3" t="str">
        <x:v>Native Jobs</x:v>
      </x:c>
      <x:c r="B1" s="3"/>
      <x:c r="C1" s="3"/>
      <x:c r="D1" s="3"/>
      <x:c r="E1" s="3"/>
      <x:c r="F1" s="3"/>
      <x:c r="G1" s="3"/>
      <x:c r="H1" s="3"/>
      <x:c r="I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7" t="str">
        <x:v>One semantic job ledger on GRDB and Room. Progress is monotonic; blockers and retry timing are orthogonal fields.</x:v>
      </x:c>
      <x:c r="B3" s="7"/>
      <x:c r="C3" s="7"/>
      <x:c r="D3" s="7"/>
      <x:c r="E3" s="7"/>
      <x:c r="F3" s="7"/>
      <x:c r="G3" s="7"/>
      <x:c r="H3" s="7"/>
      <x:c r="I3" s="7"/>
    </x:row>
    <x:row r="5" ht="22" customHeight="1">
      <x:c r="A5" s="10" t="str">
        <x:v>Durable tables</x:v>
      </x:c>
      <x:c r="B5" s="10"/>
      <x:c r="C5" s="10"/>
      <x:c r="D5" s="10"/>
      <x:c r="E5" s="10"/>
      <x:c r="F5" s="10"/>
      <x:c r="G5" s="10"/>
      <x:c r="H5" s="10"/>
      <x:c r="I5" s="10"/>
    </x:row>
    <x:row r="6" ht="28" customHeight="1">
      <x:c r="A6" s="51" t="str">
        <x:v>Table</x:v>
      </x:c>
      <x:c r="B6" s="51" t="str">
        <x:v>Purpose</x:v>
      </x:c>
      <x:c r="C6" s="51" t="str">
        <x:v>Key</x:v>
      </x:c>
      <x:c r="D6" s="51" t="str">
        <x:v>Core fields</x:v>
      </x:c>
      <x:c r="E6" s="51" t="str">
        <x:v>Writes</x:v>
      </x:c>
      <x:c r="F6" s="51" t="str">
        <x:v>Reads</x:v>
      </x:c>
      <x:c r="G6" s="51" t="str">
        <x:v>Secret?</x:v>
      </x:c>
      <x:c r="H6" s="51" t="str">
        <x:v>Cleanup</x:v>
      </x:c>
      <x:c r="I6" s="51" t="str">
        <x:v>Must prove</x:v>
      </x:c>
    </x:row>
    <x:row r="7" ht="54" customHeight="1">
      <x:c r="A7" s="55" t="str">
        <x:v>engine_settings</x:v>
      </x:c>
      <x:c r="B7" s="55" t="str">
        <x:v>Global engine policy</x:v>
      </x:c>
      <x:c r="C7" s="55" t="str">
        <x:v>singleton</x:v>
      </x:c>
      <x:c r="D7" s="55" t="str">
        <x:v>revision, paused, cellular_allowed</x:v>
      </x:c>
      <x:c r="E7" s="55" t="str">
        <x:v>Bridge commands</x:v>
      </x:c>
      <x:c r="F7" s="55" t="str">
        <x:v>Scheduler/UI snapshot</x:v>
      </x:c>
      <x:c r="G7" s="55" t="str">
        <x:v>No</x:v>
      </x:c>
      <x:c r="H7" s="55" t="str">
        <x:v>App uninstall</x:v>
      </x:c>
      <x:c r="I7" s="55" t="str">
        <x:v>Pause stops network only</x:v>
      </x:c>
    </x:row>
    <x:row r="8" ht="54" customHeight="1">
      <x:c r="A8" s="56" t="str">
        <x:v>active_trip</x:v>
      </x:c>
      <x:c r="B8" s="56" t="str">
        <x:v>Frozen activation</x:v>
      </x:c>
      <x:c r="C8" s="56" t="str">
        <x:v>singleton</x:v>
      </x:c>
      <x:c r="D8" s="56" t="str">
        <x:v>trip/member/time/release/epoch</x:v>
      </x:c>
      <x:c r="E8" s="56" t="str">
        <x:v>activate/deactivate</x:v>
      </x:c>
      <x:c r="F8" s="56" t="str">
        <x:v>Discovery/crypto</x:v>
      </x:c>
      <x:c r="G8" s="56" t="str">
        <x:v>Epoch key elsewhere</x:v>
      </x:c>
      <x:c r="H8" s="56" t="str">
        <x:v>Terminal/deactivate</x:v>
      </x:c>
      <x:c r="I8" s="56" t="str">
        <x:v>Only one row</x:v>
      </x:c>
    </x:row>
    <x:row r="9" ht="54" customHeight="1">
      <x:c r="A9" s="55" t="str">
        <x:v>library_checkpoint</x:v>
      </x:c>
      <x:c r="B9" s="55" t="str">
        <x:v>Missed-change cursor</x:v>
      </x:c>
      <x:c r="C9" s="55" t="str">
        <x:v>platform key</x:v>
      </x:c>
      <x:c r="D9" s="55" t="str">
        <x:v>token/version/generation</x:v>
      </x:c>
      <x:c r="E9" s="55" t="str">
        <x:v>Reconciler</x:v>
      </x:c>
      <x:c r="F9" s="55" t="str">
        <x:v>Reconciler</x:v>
      </x:c>
      <x:c r="G9" s="55" t="str">
        <x:v>Opaque</x:v>
      </x:c>
      <x:c r="H9" s="55" t="str">
        <x:v>After durable advance</x:v>
      </x:c>
      <x:c r="I9" s="55" t="str">
        <x:v>No gaps across restart</x:v>
      </x:c>
    </x:row>
    <x:row r="10" ht="54" customHeight="1">
      <x:c r="A10" s="56" t="str">
        <x:v>asset_job</x:v>
      </x:c>
      <x:c r="B10" s="56" t="str">
        <x:v>Source progress</x:v>
      </x:c>
      <x:c r="C10" s="56" t="str">
        <x:v>local ID</x:v>
      </x:c>
      <x:c r="D10" s="56" t="str">
        <x:v>source HMAC, times, stage, blocker/retry</x:v>
      </x:c>
      <x:c r="E10" s="56" t="str">
        <x:v>Source pipeline</x:v>
      </x:c>
      <x:c r="F10" s="56" t="str">
        <x:v>Snapshot/scheduler</x:v>
      </x:c>
      <x:c r="G10" s="56" t="str">
        <x:v>Source ID encrypted/HMAC</x:v>
      </x:c>
      <x:c r="H10" s="56" t="str">
        <x:v>After terminal retention</x:v>
      </x:c>
      <x:c r="I10" s="56" t="str">
        <x:v>Unique trip/source HMAC</x:v>
      </x:c>
    </x:row>
    <x:row r="11" ht="54" customHeight="1">
      <x:c r="A11" s="55" t="str">
        <x:v>blob_job</x:v>
      </x:c>
      <x:c r="B11" s="55" t="str">
        <x:v>Preview/original staging</x:v>
      </x:c>
      <x:c r="C11" s="55" t="str">
        <x:v>asset + variant</x:v>
      </x:c>
      <x:c r="D11" s="55" t="str">
        <x:v>cipher path/checksums/bytes/session</x:v>
      </x:c>
      <x:c r="E11" s="55" t="str">
        <x:v>Crypto/uploader</x:v>
      </x:c>
      <x:c r="F11" s="55" t="str">
        <x:v>Uploader/cleanup</x:v>
      </x:c>
      <x:c r="G11" s="55" t="str">
        <x:v>Ciphertext</x:v>
      </x:c>
      <x:c r="H11" s="55" t="str">
        <x:v>After commit/purge</x:v>
      </x:c>
      <x:c r="I11" s="55" t="str">
        <x:v>No plaintext path</x:v>
      </x:c>
    </x:row>
    <x:row r="12" ht="54" customHeight="1">
      <x:c r="A12" s="56" t="str">
        <x:v>delivery_job</x:v>
      </x:c>
      <x:c r="B12" s="56" t="str">
        <x:v>Receive/save progress</x:v>
      </x:c>
      <x:c r="C12" s="56" t="str">
        <x:v>delivery ID</x:v>
      </x:c>
      <x:c r="D12" s="56" t="str">
        <x:v>manifest, stage, paths, blocker/retry</x:v>
      </x:c>
      <x:c r="E12" s="56" t="str">
        <x:v>Inbox/receiver</x:v>
      </x:c>
      <x:c r="F12" s="56" t="str">
        <x:v>Snapshot/scheduler</x:v>
      </x:c>
      <x:c r="G12" s="56" t="str">
        <x:v>Encrypted manifest</x:v>
      </x:c>
      <x:c r="H12" s="56" t="str">
        <x:v>After receipt/history</x:v>
      </x:c>
      <x:c r="I12" s="56" t="str">
        <x:v>Monotonic exact save</x:v>
      </x:c>
    </x:row>
    <x:row r="13" ht="54" customHeight="1">
      <x:c r="A13" s="55" t="str">
        <x:v>saved_asset</x:v>
      </x:c>
      <x:c r="B13" s="55" t="str">
        <x:v>Duplicate-save guard</x:v>
      </x:c>
      <x:c r="C13" s="55" t="str">
        <x:v>asset ID</x:v>
      </x:c>
      <x:c r="D13" s="55" t="str">
        <x:v>system ID, plaintext hash, saved time</x:v>
      </x:c>
      <x:c r="E13" s="55" t="str">
        <x:v>Saver transaction</x:v>
      </x:c>
      <x:c r="F13" s="55" t="str">
        <x:v>Saver/reconciliation</x:v>
      </x:c>
      <x:c r="G13" s="55" t="str">
        <x:v>Hash protected locally</x:v>
      </x:c>
      <x:c r="H13" s="55" t="str">
        <x:v>Metadata retention</x:v>
      </x:c>
      <x:c r="I13" s="55" t="str">
        <x:v>Exactly one system save</x:v>
      </x:c>
    </x:row>
    <x:row r="14" ht="54" customHeight="1">
      <x:c r="A14" s="56" t="str">
        <x:v>command_outbox</x:v>
      </x:c>
      <x:c r="B14" s="56" t="str">
        <x:v>Native-to-server durability</x:v>
      </x:c>
      <x:c r="C14" s="56" t="str">
        <x:v>ID; unique dedupe</x:v>
      </x:c>
      <x:c r="D14" s="56" t="str">
        <x:v>type, payload, retry, ack</x:v>
      </x:c>
      <x:c r="E14" s="56" t="str">
        <x:v>Pipelines</x:v>
      </x:c>
      <x:c r="F14" s="56" t="str">
        <x:v>API sync worker</x:v>
      </x:c>
      <x:c r="G14" s="56" t="str">
        <x:v>May contain opaque IDs</x:v>
      </x:c>
      <x:c r="H14" s="56" t="str">
        <x:v>After ack horizon</x:v>
      </x:c>
      <x:c r="I14" s="56" t="str">
        <x:v>At-least-once safe</x:v>
      </x:c>
    </x:row>
    <x:row r="15" ht="54" customHeight="1">
      <x:c r="A15" s="55" t="str">
        <x:v>inbox_checkpoint</x:v>
      </x:c>
      <x:c r="B15" s="55" t="str">
        <x:v>Server cursor</x:v>
      </x:c>
      <x:c r="C15" s="55" t="str">
        <x:v>singleton</x:v>
      </x:c>
      <x:c r="D15" s="55" t="str">
        <x:v>opaque cursor, time</x:v>
      </x:c>
      <x:c r="E15" s="55" t="str">
        <x:v>Inbox sync</x:v>
      </x:c>
      <x:c r="F15" s="55" t="str">
        <x:v>Inbox sync</x:v>
      </x:c>
      <x:c r="G15" s="55" t="str">
        <x:v>No</x:v>
      </x:c>
      <x:c r="H15" s="55" t="str">
        <x:v>Reset only on auth revoke</x:v>
      </x:c>
      <x:c r="I15" s="55" t="str">
        <x:v>Persist before cursor advance</x:v>
      </x:c>
    </x:row>
    <x:row r="17" ht="22" customHeight="1">
      <x:c r="A17" s="10" t="str">
        <x:v>Platform wake and reconciliation matrix</x:v>
      </x:c>
      <x:c r="B17" s="10"/>
      <x:c r="C17" s="10"/>
      <x:c r="D17" s="10"/>
      <x:c r="E17" s="10"/>
      <x:c r="F17" s="10"/>
      <x:c r="G17" s="10"/>
      <x:c r="H17" s="10"/>
      <x:c r="I17" s="10"/>
    </x:row>
    <x:row r="18" ht="28" customHeight="1">
      <x:c r="A18" s="51" t="str">
        <x:v>Platform</x:v>
      </x:c>
      <x:c r="B18" s="51" t="str">
        <x:v>Foreground hint</x:v>
      </x:c>
      <x:c r="C18" s="51" t="str">
        <x:v>Background wake</x:v>
      </x:c>
      <x:c r="D18" s="51" t="str">
        <x:v>Truth cursor</x:v>
      </x:c>
      <x:c r="E18" s="51" t="str">
        <x:v>Upload</x:v>
      </x:c>
      <x:c r="F18" s="51" t="str">
        <x:v>Download</x:v>
      </x:c>
      <x:c r="G18" s="51" t="str">
        <x:v>Exact save</x:v>
      </x:c>
      <x:c r="H18" s="51" t="str">
        <x:v>Received exclusion</x:v>
      </x:c>
      <x:c r="I18" s="51" t="str">
        <x:v>Known stop limit</x:v>
      </x:c>
    </x:row>
    <x:row r="19" ht="64" customHeight="1">
      <x:c r="A19" s="55" t="str">
        <x:v>iOS</x:v>
      </x:c>
      <x:c r="B19" s="55" t="str">
        <x:v>PHPhotoLibraryChangeObserver</x:v>
      </x:c>
      <x:c r="C19" s="55" t="str">
        <x:v>BGProcessing opportunity + background URLSession callbacks</x:v>
      </x:c>
      <x:c r="D19" s="55" t="str">
        <x:v>PhotoKit persistent change token</x:v>
      </x:c>
      <x:c r="E19" s="55" t="str">
        <x:v>Cipher staging + background URLSession</x:v>
      </x:c>
      <x:c r="F19" s="55" t="str">
        <x:v>Background URLSession</x:v>
      </x:c>
      <x:c r="G19" s="55" t="str">
        <x:v>PhotoKit performChanges</x:v>
      </x:c>
      <x:c r="H19" s="55" t="str">
        <x:v>CrewRoll album + saved IDs</x:v>
      </x:c>
      <x:c r="I19" s="55" t="str">
        <x:v>Force-quit until reopen</x:v>
      </x:c>
    </x:row>
    <x:row r="20" ht="64" customHeight="1">
      <x:c r="A20" s="56" t="str">
        <x:v>Android</x:v>
      </x:c>
      <x:c r="B20" s="56" t="str">
        <x:v>ContentObserver</x:v>
      </x:c>
      <x:c r="C20" s="56" t="str">
        <x:v>TriggerContentUri JobService -&gt; unique WorkManager</x:v>
      </x:c>
      <x:c r="D20" s="56" t="str">
        <x:v>MediaStore version/generation</x:v>
      </x:c>
      <x:c r="E20" s="56" t="str">
        <x:v>Cipher staging + OkHttp</x:v>
      </x:c>
      <x:c r="F20" s="56" t="str">
        <x:v>OkHttp Worker</x:v>
      </x:c>
      <x:c r="G20" s="56" t="str">
        <x:v>MediaStore IS_PENDING</x:v>
      </x:c>
      <x:c r="H20" s="56" t="str">
        <x:v>Pictures/CrewRoll + saved IDs</x:v>
      </x:c>
      <x:c r="I20" s="56" t="str">
        <x:v>Settings force-stop until reopen</x:v>
      </x:c>
    </x:row>
  </x:sheetData>
  <x:mergeCells>
    <x:mergeCell ref="A1:I2"/>
    <x:mergeCell ref="A3:I3"/>
    <x:mergeCell ref="A5:I5"/>
    <x:mergeCell ref="A17:I1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30" hidden="0" customWidth="1"/>
    <x:col min="4" max="4" width="38" hidden="0" customWidth="1"/>
    <x:col min="5" max="5" width="38" hidden="0" customWidth="1"/>
    <x:col min="6" max="6" width="30" hidden="0" customWidth="1"/>
    <x:col min="7" max="7" width="28" hidden="0" customWidth="1"/>
    <x:col min="8" max="8" width="34" hidden="0" customWidth="1"/>
  </x:cols>
  <x:sheetData>
    <x:row r="1" ht="26" customHeight="1">
      <x:c r="A1" s="3" t="str">
        <x:v>Design System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7" t="str">
        <x:v>Quiet courier, not transfer diagnostics: semantic tokens, accessible states, and product-level components.</x:v>
      </x:c>
      <x:c r="B3" s="7"/>
      <x:c r="C3" s="7"/>
      <x:c r="D3" s="7"/>
      <x:c r="E3" s="7"/>
      <x:c r="F3" s="7"/>
      <x:c r="G3" s="7"/>
      <x:c r="H3" s="7"/>
    </x:row>
    <x:row r="5" ht="22" customHeight="1">
      <x:c r="A5" s="10" t="str">
        <x:v>Foundations</x:v>
      </x:c>
      <x:c r="B5" s="10"/>
      <x:c r="C5" s="10"/>
      <x:c r="D5" s="10"/>
      <x:c r="E5" s="10"/>
      <x:c r="F5" s="10"/>
      <x:c r="G5" s="10"/>
      <x:c r="H5" s="10"/>
    </x:row>
    <x:row r="6" ht="28" customHeight="1">
      <x:c r="A6" s="51" t="str">
        <x:v>Foundation</x:v>
      </x:c>
      <x:c r="B6" s="51" t="str">
        <x:v>Token / rule</x:v>
      </x:c>
      <x:c r="C6" s="51" t="str">
        <x:v>Light</x:v>
      </x:c>
      <x:c r="D6" s="51" t="str">
        <x:v>Dark</x:v>
      </x:c>
      <x:c r="E6" s="51" t="str">
        <x:v>Usage</x:v>
      </x:c>
      <x:c r="F6" s="51" t="str">
        <x:v>Accessibility rule</x:v>
      </x:c>
      <x:c r="G6" s="51" t="str">
        <x:v>Code boundary</x:v>
      </x:c>
      <x:c r="H6" s="51" t="str">
        <x:v>Acceptance</x:v>
      </x:c>
    </x:row>
    <x:row r="7" ht="48" customHeight="1">
      <x:c r="A7" s="55" t="str">
        <x:v>Color</x:v>
      </x:c>
      <x:c r="B7" s="55" t="str">
        <x:v>background / surface</x:v>
      </x:c>
      <x:c r="C7" s="55" t="str">
        <x:v>#F7F9FC / #FFFFFF</x:v>
      </x:c>
      <x:c r="D7" s="55" t="str">
        <x:v>#020A12 / #081421</x:v>
      </x:c>
      <x:c r="E7" s="55" t="str">
        <x:v>Screen and cards</x:v>
      </x:c>
      <x:c r="F7" s="55" t="str">
        <x:v>AA contrast</x:v>
      </x:c>
      <x:c r="G7" s="55" t="str">
        <x:v>tokens/color.ts</x:v>
      </x:c>
      <x:c r="H7" s="55" t="str">
        <x:v>No raw feature colors</x:v>
      </x:c>
    </x:row>
    <x:row r="8" ht="48" customHeight="1">
      <x:c r="A8" s="56" t="str">
        <x:v>Color</x:v>
      </x:c>
      <x:c r="B8" s="56" t="str">
        <x:v>primary / secondary text</x:v>
      </x:c>
      <x:c r="C8" s="56" t="str">
        <x:v>#07111F / #5F6C7D</x:v>
      </x:c>
      <x:c r="D8" s="56" t="str">
        <x:v>#F7FAFF / #9EADBE</x:v>
      </x:c>
      <x:c r="E8" s="56" t="str">
        <x:v>Content hierarchy</x:v>
      </x:c>
      <x:c r="F8" s="56" t="str">
        <x:v>Dynamic type</x:v>
      </x:c>
      <x:c r="G8" s="56" t="str">
        <x:v>tokens/color.ts</x:v>
      </x:c>
      <x:c r="H8" s="56" t="str">
        <x:v>Contrast checks pass</x:v>
      </x:c>
    </x:row>
    <x:row r="9" ht="48" customHeight="1">
      <x:c r="A9" s="55" t="str">
        <x:v>Color</x:v>
      </x:c>
      <x:c r="B9" s="55" t="str">
        <x:v>action</x:v>
      </x:c>
      <x:c r="C9" s="55" t="str">
        <x:v>#0B63CE</x:v>
      </x:c>
      <x:c r="D9" s="55" t="str">
        <x:v>#1675FF</x:v>
      </x:c>
      <x:c r="E9" s="55" t="str">
        <x:v>Primary action</x:v>
      </x:c>
      <x:c r="F9" s="55" t="str">
        <x:v>Text contrast + non-color state</x:v>
      </x:c>
      <x:c r="G9" s="55" t="str">
        <x:v>tokens/color.ts</x:v>
      </x:c>
      <x:c r="H9" s="55" t="str">
        <x:v>Pressed/disabled/loading</x:v>
      </x:c>
    </x:row>
    <x:row r="10" ht="48" customHeight="1">
      <x:c r="A10" s="56" t="str">
        <x:v>Status</x:v>
      </x:c>
      <x:c r="B10" s="56" t="str">
        <x:v>success / warning / critical / info</x:v>
      </x:c>
      <x:c r="C10" s="56" t="str">
        <x:v>Semantic foreground + tint</x:v>
      </x:c>
      <x:c r="D10" s="56" t="str">
        <x:v>Semantic foreground + tint</x:v>
      </x:c>
      <x:c r="E10" s="56" t="str">
        <x:v>Transfer and blockers</x:v>
      </x:c>
      <x:c r="F10" s="56" t="str">
        <x:v>Icon plus text always</x:v>
      </x:c>
      <x:c r="G10" s="56" t="str">
        <x:v>feedback/</x:v>
      </x:c>
      <x:c r="H10" s="56" t="str">
        <x:v>Color is never sole signal</x:v>
      </x:c>
    </x:row>
    <x:row r="11" ht="48" customHeight="1">
      <x:c r="A11" s="55" t="str">
        <x:v>Type</x:v>
      </x:c>
      <x:c r="B11" s="55" t="str">
        <x:v>Manrope</x:v>
      </x:c>
      <x:c r="C11" s="55" t="str">
        <x:v>12–36 px scale</x:v>
      </x:c>
      <x:c r="D11" s="55" t="str">
        <x:v>12–36 px scale</x:v>
      </x:c>
      <x:c r="E11" s="55" t="str">
        <x:v>Display to caption</x:v>
      </x:c>
      <x:c r="F11" s="55" t="str">
        <x:v>200% scaling</x:v>
      </x:c>
      <x:c r="G11" s="55" t="str">
        <x:v>tokens/typography.ts</x:v>
      </x:c>
      <x:c r="H11" s="55" t="str">
        <x:v>No clipped core action</x:v>
      </x:c>
    </x:row>
    <x:row r="12" ht="48" customHeight="1">
      <x:c r="A12" s="56" t="str">
        <x:v>Space</x:v>
      </x:c>
      <x:c r="B12" s="56" t="str">
        <x:v>4–64; gutter 20</x:v>
      </x:c>
      <x:c r="C12" s="56" t="str">
        <x:v>Shared</x:v>
      </x:c>
      <x:c r="D12" s="56" t="str">
        <x:v>Shared</x:v>
      </x:c>
      <x:c r="E12" s="56" t="str">
        <x:v>Layout rhythm</x:v>
      </x:c>
      <x:c r="F12" s="56" t="str">
        <x:v>48x48 target</x:v>
      </x:c>
      <x:c r="G12" s="56" t="str">
        <x:v>tokens/spacing.ts</x:v>
      </x:c>
      <x:c r="H12" s="56" t="str">
        <x:v>Touch audit passes</x:v>
      </x:c>
    </x:row>
    <x:row r="13" ht="48" customHeight="1">
      <x:c r="A13" s="55" t="str">
        <x:v>Radius</x:v>
      </x:c>
      <x:c r="B13" s="55" t="str">
        <x:v>12/16/20/28/pill</x:v>
      </x:c>
      <x:c r="C13" s="55" t="str">
        <x:v>Shared</x:v>
      </x:c>
      <x:c r="D13" s="55" t="str">
        <x:v>Shared</x:v>
      </x:c>
      <x:c r="E13" s="55" t="str">
        <x:v>Surface hierarchy</x:v>
      </x:c>
      <x:c r="F13" s="55" t="str">
        <x:v>Focus remains visible</x:v>
      </x:c>
      <x:c r="G13" s="55" t="str">
        <x:v>tokens/radius.ts</x:v>
      </x:c>
      <x:c r="H13" s="55" t="str">
        <x:v>Consistent component states</x:v>
      </x:c>
    </x:row>
    <x:row r="14" ht="48" customHeight="1">
      <x:c r="A14" s="56" t="str">
        <x:v>Motion</x:v>
      </x:c>
      <x:c r="B14" s="56" t="str">
        <x:v>120/220/320 ms</x:v>
      </x:c>
      <x:c r="C14" s="56" t="str">
        <x:v>Shared</x:v>
      </x:c>
      <x:c r="D14" s="56" t="str">
        <x:v>Shared</x:v>
      </x:c>
      <x:c r="E14" s="56" t="str">
        <x:v>Response/state/navigation</x:v>
      </x:c>
      <x:c r="F14" s="56" t="str">
        <x:v>Reduce Motion</x:v>
      </x:c>
      <x:c r="G14" s="56" t="str">
        <x:v>tokens/motion.ts</x:v>
      </x:c>
      <x:c r="H14" s="56" t="str">
        <x:v>No required info in motion</x:v>
      </x:c>
    </x:row>
    <x:row r="16" ht="22" customHeight="1">
      <x:c r="A16" s="10" t="str">
        <x:v>Component inventory</x:v>
      </x:c>
      <x:c r="B16" s="10"/>
      <x:c r="C16" s="10"/>
      <x:c r="D16" s="10"/>
      <x:c r="E16" s="10"/>
      <x:c r="F16" s="10"/>
      <x:c r="G16" s="10"/>
      <x:c r="H16" s="10"/>
    </x:row>
    <x:row r="17" ht="28" customHeight="1">
      <x:c r="A17" s="51" t="str">
        <x:v>Tier</x:v>
      </x:c>
      <x:c r="B17" s="51" t="str">
        <x:v>Components</x:v>
      </x:c>
      <x:c r="C17" s="51" t="str">
        <x:v>Owns</x:v>
      </x:c>
      <x:c r="D17" s="51" t="str">
        <x:v>States</x:v>
      </x:c>
      <x:c r="E17" s="51" t="str">
        <x:v>Content rule</x:v>
      </x:c>
      <x:c r="F17" s="51" t="str">
        <x:v>A11y</x:v>
      </x:c>
      <x:c r="G17" s="51" t="str">
        <x:v>Tests</x:v>
      </x:c>
      <x:c r="H17" s="51" t="str">
        <x:v>Not allowed</x:v>
      </x:c>
    </x:row>
    <x:row r="18" ht="56" customHeight="1">
      <x:c r="A18" s="55" t="str">
        <x:v>Primitive</x:v>
      </x:c>
      <x:c r="B18" s="55" t="str">
        <x:v>AppText, Screen, Stack, Inline, Surface, Divider</x:v>
      </x:c>
      <x:c r="C18" s="55" t="str">
        <x:v>Layout/type</x:v>
      </x:c>
      <x:c r="D18" s="55" t="str">
        <x:v>Light/dark/scale</x:v>
      </x:c>
      <x:c r="E18" s="55" t="str">
        <x:v>No transfer semantics</x:v>
      </x:c>
      <x:c r="F18" s="55" t="str">
        <x:v>Landmarks/order</x:v>
      </x:c>
      <x:c r="G18" s="55" t="str">
        <x:v>Snapshot + scale</x:v>
      </x:c>
      <x:c r="H18" s="55" t="str">
        <x:v>Feature networking</x:v>
      </x:c>
    </x:row>
    <x:row r="19" ht="56" customHeight="1">
      <x:c r="A19" s="56" t="str">
        <x:v>Control</x:v>
      </x:c>
      <x:c r="B19" s="56" t="str">
        <x:v>Button, IconButton, TextField, PressableRow</x:v>
      </x:c>
      <x:c r="C19" s="56" t="str">
        <x:v>Input/action</x:v>
      </x:c>
      <x:c r="D19" s="56" t="str">
        <x:v>Default/pressed/loading/disabled/error</x:v>
      </x:c>
      <x:c r="E19" s="56" t="str">
        <x:v>Verb-first</x:v>
      </x:c>
      <x:c r="F19" s="56" t="str">
        <x:v>48 target/labels</x:v>
      </x:c>
      <x:c r="G19" s="56" t="str">
        <x:v>Interaction</x:v>
      </x:c>
      <x:c r="H19" s="56" t="str">
        <x:v>Raw provider errors</x:v>
      </x:c>
    </x:row>
    <x:row r="20" ht="56" customHeight="1">
      <x:c r="A20" s="55" t="str">
        <x:v>Feedback</x:v>
      </x:c>
      <x:c r="B20" s="55" t="str">
        <x:v>StatusBadge, LiveStatus, InlineBanner, BlockingCallout, Toast</x:v>
      </x:c>
      <x:c r="C20" s="55" t="str">
        <x:v>Status communication</x:v>
      </x:c>
      <x:c r="D20" s="55" t="str">
        <x:v>Automatic/actionable/blocking</x:v>
      </x:c>
      <x:c r="E20" s="55" t="str">
        <x:v>Typed error registry</x:v>
      </x:c>
      <x:c r="F20" s="55" t="str">
        <x:v>Icon + text/announcement</x:v>
      </x:c>
      <x:c r="G20" s="55" t="str">
        <x:v>State matrix</x:v>
      </x:c>
      <x:c r="H20" s="55" t="str">
        <x:v>Color-only status</x:v>
      </x:c>
    </x:row>
    <x:row r="21" ht="56" customHeight="1">
      <x:c r="A21" s="56" t="str">
        <x:v>Product</x:v>
      </x:c>
      <x:c r="B21" s="56" t="str">
        <x:v>TripSummaryCard, MemberReadinessRow, PhotoGrid, TransferHealthCard</x:v>
      </x:c>
      <x:c r="C21" s="56" t="str">
        <x:v>CrewRoll projection</x:v>
      </x:c>
      <x:c r="D21" s="56" t="str">
        <x:v>Empty/live/paused/blocker/complete</x:v>
      </x:c>
      <x:c r="E21" s="56" t="str">
        <x:v>Answer the three core questions</x:v>
      </x:c>
      <x:c r="F21" s="56" t="str">
        <x:v>Named values/hints</x:v>
      </x:c>
      <x:c r="G21" s="56" t="str">
        <x:v>Feature fixtures</x:v>
      </x:c>
      <x:c r="H21" s="56" t="str">
        <x:v>Diagnostic jargon</x:v>
      </x:c>
    </x:row>
    <x:row r="22" ht="56" customHeight="1">
      <x:c r="A22" s="55" t="str">
        <x:v>Reconcile</x:v>
      </x:c>
      <x:c r="B22" s="55" t="str">
        <x:v>MemberCoverageCard, ReconciliationRow</x:v>
      </x:c>
      <x:c r="C22" s="55" t="str">
        <x:v>Asset-by-member gaps</x:v>
      </x:c>
      <x:c r="D22" s="55" t="str">
        <x:v>Complete/waiting/action needed/expired</x:v>
      </x:c>
      <x:c r="E22" s="55" t="str">
        <x:v>Name exact device/blocker</x:v>
      </x:c>
      <x:c r="F22" s="55" t="str">
        <x:v>Table/list navigation</x:v>
      </x:c>
      <x:c r="G22" s="55" t="str">
        <x:v>Matrix fixtures</x:v>
      </x:c>
      <x:c r="H22" s="55" t="str">
        <x:v>False celebration</x:v>
      </x:c>
    </x:row>
  </x:sheetData>
  <x:mergeCells>
    <x:mergeCell ref="A1:H2"/>
    <x:mergeCell ref="A3:H3"/>
    <x:mergeCell ref="A5:H5"/>
    <x:mergeCell ref="A16:H16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42" hidden="0" customWidth="1"/>
    <x:col min="5" max="5" width="24" hidden="0" customWidth="1"/>
    <x:col min="6" max="6" width="46" hidden="0" customWidth="1"/>
    <x:col min="7" max="7" width="20" hidden="0" customWidth="1"/>
    <x:col min="8" max="8" width="12" hidden="0" customWidth="1"/>
    <x:col min="9" max="9" width="18" hidden="0" customWidth="1"/>
  </x:cols>
  <x:sheetData>
    <x:row r="1" ht="26" customHeight="1">
      <x:c r="A1" s="3" t="str">
        <x:v>Tech Tasks</x:v>
      </x:c>
      <x:c r="B1" s="3"/>
      <x:c r="C1" s="3"/>
      <x:c r="D1" s="3"/>
      <x:c r="E1" s="3"/>
      <x:c r="F1" s="3"/>
      <x:c r="G1" s="3"/>
      <x:c r="H1" s="3"/>
      <x:c r="I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7" t="str">
        <x:v>Ordered build backlog. Each task begins with a failing test and ends with evidence, not only a code diff.</x:v>
      </x:c>
      <x:c r="B3" s="7"/>
      <x:c r="C3" s="7"/>
      <x:c r="D3" s="7"/>
      <x:c r="E3" s="7"/>
      <x:c r="F3" s="7"/>
      <x:c r="G3" s="7"/>
      <x:c r="H3" s="7"/>
      <x:c r="I3" s="7"/>
    </x:row>
    <x:row r="5" ht="28" customHeight="1">
      <x:c r="A5" s="51" t="str">
        <x:v>ID</x:v>
      </x:c>
      <x:c r="B5" s="51" t="str">
        <x:v>Workstream</x:v>
      </x:c>
      <x:c r="C5" s="51" t="str">
        <x:v>Task</x:v>
      </x:c>
      <x:c r="D5" s="51" t="str">
        <x:v>Deliverable</x:v>
      </x:c>
      <x:c r="E5" s="51" t="str">
        <x:v>Depends on</x:v>
      </x:c>
      <x:c r="F5" s="51" t="str">
        <x:v>Acceptance</x:v>
      </x:c>
      <x:c r="G5" s="51" t="str">
        <x:v>Owner</x:v>
      </x:c>
      <x:c r="H5" s="51" t="str">
        <x:v>Priority</x:v>
      </x:c>
      <x:c r="I5" s="51" t="str">
        <x:v>Type</x:v>
      </x:c>
    </x:row>
    <x:row r="6" ht="56" customHeight="1">
      <x:c r="A6" s="55" t="str">
        <x:v>G-00</x:v>
      </x:c>
      <x:c r="B6" s="55" t="str">
        <x:v>Safety</x:v>
      </x:c>
      <x:c r="C6" s="55" t="str">
        <x:v>Protect identity and explicit reset</x:v>
      </x:c>
      <x:c r="D6" s="55" t="str">
        <x:v>Identity snapshot/test; recoverable tag; allowlisted cleanup</x:v>
      </x:c>
      <x:c r="E6" s="55" t="str">
        <x:v>None</x:v>
      </x:c>
      <x:c r="F6" s="55" t="str">
        <x:v>App config resolves exact existing IDs after reset</x:v>
      </x:c>
      <x:c r="G6" s="55" t="str">
        <x:v>Foundation</x:v>
      </x:c>
      <x:c r="H6" s="68" t="str">
        <x:v>P0</x:v>
      </x:c>
      <x:c r="I6" s="55" t="str">
        <x:v>Gate</x:v>
      </x:c>
    </x:row>
    <x:row r="7" ht="56" customHeight="1">
      <x:c r="A7" s="56" t="str">
        <x:v>G-01</x:v>
      </x:c>
      <x:c r="B7" s="56" t="str">
        <x:v>Workspace</x:v>
      </x:c>
      <x:c r="C7" s="56" t="str">
        <x:v>Expo 57/npm workspace scaffold</x:v>
      </x:c>
      <x:c r="D7" s="56" t="str">
        <x:v>Root app, contracts, control-plane, strict tooling</x:v>
      </x:c>
      <x:c r="E7" s="56" t="str">
        <x:v>G-00</x:v>
      </x:c>
      <x:c r="F7" s="56" t="str">
        <x:v>Expo config/doctor/type/lint tests pass</x:v>
      </x:c>
      <x:c r="G7" s="56" t="str">
        <x:v>Foundation</x:v>
      </x:c>
      <x:c r="H7" s="68" t="str">
        <x:v>P0</x:v>
      </x:c>
      <x:c r="I7" s="56" t="str">
        <x:v>Gate</x:v>
      </x:c>
    </x:row>
    <x:row r="8" ht="56" customHeight="1">
      <x:c r="A8" s="55" t="str">
        <x:v>G-02</x:v>
      </x:c>
      <x:c r="B8" s="55" t="str">
        <x:v>Contracts</x:v>
      </x:c>
      <x:c r="C8" s="55" t="str">
        <x:v>HTTP, event, native bridge, crypto vectors</x:v>
      </x:c>
      <x:c r="D8" s="55" t="str">
        <x:v>TypeBox/OpenAPI fixtures and secretstream vectors</x:v>
      </x:c>
      <x:c r="E8" s="55" t="str">
        <x:v>G-01</x:v>
      </x:c>
      <x:c r="F8" s="55" t="str">
        <x:v>Malformed inputs and tamper vectors fail</x:v>
      </x:c>
      <x:c r="G8" s="55" t="str">
        <x:v>Architecture</x:v>
      </x:c>
      <x:c r="H8" s="68" t="str">
        <x:v>P0</x:v>
      </x:c>
      <x:c r="I8" s="55" t="str">
        <x:v>Gate</x:v>
      </x:c>
    </x:row>
    <x:row r="9" ht="56" customHeight="1">
      <x:c r="A9" s="56" t="str">
        <x:v>DS-01</x:v>
      </x:c>
      <x:c r="B9" s="56" t="str">
        <x:v>Design</x:v>
      </x:c>
      <x:c r="C9" s="56" t="str">
        <x:v>Semantic tokens and primitives</x:v>
      </x:c>
      <x:c r="D9" s="56" t="str">
        <x:v>Light/dark/a11y component foundation</x:v>
      </x:c>
      <x:c r="E9" s="56" t="str">
        <x:v>G-01</x:v>
      </x:c>
      <x:c r="F9" s="56" t="str">
        <x:v>No raw feature colors; 200% type; 48 targets</x:v>
      </x:c>
      <x:c r="G9" s="56" t="str">
        <x:v>Mobile</x:v>
      </x:c>
      <x:c r="H9" s="68" t="str">
        <x:v>P0</x:v>
      </x:c>
      <x:c r="I9" s="56" t="str">
        <x:v>Build</x:v>
      </x:c>
    </x:row>
    <x:row r="10" ht="56" customHeight="1">
      <x:c r="A10" s="55" t="str">
        <x:v>CP-01</x:v>
      </x:c>
      <x:c r="B10" s="55" t="str">
        <x:v>Backend</x:v>
      </x:c>
      <x:c r="C10" s="55" t="str">
        <x:v>Fastify/Postgres composition</x:v>
      </x:c>
      <x:c r="D10" s="55" t="str">
        <x:v>Schema, migrations, Clerk actor, problem mapper</x:v>
      </x:c>
      <x:c r="E10" s="55" t="str">
        <x:v>G-02</x:v>
      </x:c>
      <x:c r="F10" s="55" t="str">
        <x:v>Testcontainers invariants green</x:v>
      </x:c>
      <x:c r="G10" s="55" t="str">
        <x:v>Backend</x:v>
      </x:c>
      <x:c r="H10" s="68" t="str">
        <x:v>P0</x:v>
      </x:c>
      <x:c r="I10" s="55" t="str">
        <x:v>Build</x:v>
      </x:c>
    </x:row>
    <x:row r="11" ht="56" customHeight="1">
      <x:c r="A11" s="56" t="str">
        <x:v>CP-02</x:v>
      </x:c>
      <x:c r="B11" s="56" t="str">
        <x:v>Backend</x:v>
      </x:c>
      <x:c r="C11" s="56" t="str">
        <x:v>Devices and frozen trip membership</x:v>
      </x:c>
      <x:c r="D11" s="56" t="str">
        <x:v>Register/create/join/approve/start</x:v>
      </x:c>
      <x:c r="E11" s="56" t="str">
        <x:v>CP-01</x:v>
      </x:c>
      <x:c r="F11" s="56" t="str">
        <x:v>20-way capacity and one-active-trip races pass</x:v>
      </x:c>
      <x:c r="G11" s="56" t="str">
        <x:v>Backend</x:v>
      </x:c>
      <x:c r="H11" s="68" t="str">
        <x:v>P0</x:v>
      </x:c>
      <x:c r="I11" s="56" t="str">
        <x:v>Build</x:v>
      </x:c>
    </x:row>
    <x:row r="12" ht="56" customHeight="1">
      <x:c r="A12" s="55" t="str">
        <x:v>NT-01</x:v>
      </x:c>
      <x:c r="B12" s="55" t="str">
        <x:v>Native</x:v>
      </x:c>
      <x:c r="C12" s="55" t="str">
        <x:v>Expo module and durable empty snapshot</x:v>
      </x:c>
      <x:c r="D12" s="55" t="str">
        <x:v>Typed bridge, config plugin, GRDB/Room roots</x:v>
      </x:c>
      <x:c r="E12" s="55" t="str">
        <x:v>G-02</x:v>
      </x:c>
      <x:c r="F12" s="55" t="str">
        <x:v>Swift/Kotlin/TS contracts match</x:v>
      </x:c>
      <x:c r="G12" s="55" t="str">
        <x:v>Native</x:v>
      </x:c>
      <x:c r="H12" s="68" t="str">
        <x:v>P0</x:v>
      </x:c>
      <x:c r="I12" s="55" t="str">
        <x:v>Build</x:v>
      </x:c>
    </x:row>
    <x:row r="13" ht="56" customHeight="1">
      <x:c r="A13" s="56" t="str">
        <x:v>NT-02</x:v>
      </x:c>
      <x:c r="B13" s="56" t="str">
        <x:v>Native</x:v>
      </x:c>
      <x:c r="C13" s="56" t="str">
        <x:v>State machines and persistence</x:v>
      </x:c>
      <x:c r="D13" s="56" t="str">
        <x:v>Jobs, migrations, unique constraints, kill tests</x:v>
      </x:c>
      <x:c r="E13" s="56" t="str">
        <x:v>NT-01</x:v>
      </x:c>
      <x:c r="F13" s="56" t="str">
        <x:v>No duplicate job/save after process kill</x:v>
      </x:c>
      <x:c r="G13" s="56" t="str">
        <x:v>Native</x:v>
      </x:c>
      <x:c r="H13" s="68" t="str">
        <x:v>P0</x:v>
      </x:c>
      <x:c r="I13" s="56" t="str">
        <x:v>Gate</x:v>
      </x:c>
    </x:row>
    <x:row r="14" ht="56" customHeight="1">
      <x:c r="A14" s="55" t="str">
        <x:v>NT-03</x:v>
      </x:c>
      <x:c r="B14" s="55" t="str">
        <x:v>Security</x:v>
      </x:c>
      <x:c r="C14" s="55" t="str">
        <x:v>Cross-platform secretstream</x:v>
      </x:c>
      <x:c r="D14" s="55" t="str">
        <x:v>Key vaults, manifest, bounded encrypt/decrypt</x:v>
      </x:c>
      <x:c r="E14" s="55" t="str">
        <x:v>G-02,NT-01</x:v>
      </x:c>
      <x:c r="F14" s="55" t="str">
        <x:v>All golden/tamper/memory tests pass</x:v>
      </x:c>
      <x:c r="G14" s="55" t="str">
        <x:v>Security</x:v>
      </x:c>
      <x:c r="H14" s="68" t="str">
        <x:v>P0</x:v>
      </x:c>
      <x:c r="I14" s="55" t="str">
        <x:v>Gate</x:v>
      </x:c>
    </x:row>
    <x:row r="15" ht="56" customHeight="1">
      <x:c r="A15" s="56" t="str">
        <x:v>CP-03</x:v>
      </x:c>
      <x:c r="B15" s="56" t="str">
        <x:v>Backend</x:v>
      </x:c>
      <x:c r="C15" s="56" t="str">
        <x:v>Upload session and atomic commit</x:v>
      </x:c>
      <x:c r="D15" s="56" t="str">
        <x:v>Write-once S3 PUT; HEAD verify; frozen fan-out</x:v>
      </x:c>
      <x:c r="E15" s="56" t="str">
        <x:v>CP-02,G-02</x:v>
      </x:c>
      <x:c r="F15" s="56" t="str">
        <x:v>Raced commit creates one asset/delivery set</x:v>
      </x:c>
      <x:c r="G15" s="56" t="str">
        <x:v>Backend</x:v>
      </x:c>
      <x:c r="H15" s="68" t="str">
        <x:v>P0</x:v>
      </x:c>
      <x:c r="I15" s="56" t="str">
        <x:v>Build</x:v>
      </x:c>
    </x:row>
    <x:row r="16" ht="56" customHeight="1">
      <x:c r="A16" s="55" t="str">
        <x:v>NT-04</x:v>
      </x:c>
      <x:c r="B16" s="55" t="str">
        <x:v>iOS</x:v>
      </x:c>
      <x:c r="C16" s="55" t="str">
        <x:v>Discover, preview, encrypt, upload</x:v>
      </x:c>
      <x:c r="D16" s="55" t="str">
        <x:v>Persistent token + observer + background URLSession</x:v>
      </x:c>
      <x:c r="E16" s="55" t="str">
        <x:v>NT-02,NT-03,CP-03</x:v>
      </x:c>
      <x:c r="F16" s="55" t="str">
        <x:v>Physical iPhone source reaches COMMITTED</x:v>
      </x:c>
      <x:c r="G16" s="55" t="str">
        <x:v>iOS</x:v>
      </x:c>
      <x:c r="H16" s="68" t="str">
        <x:v>P0</x:v>
      </x:c>
      <x:c r="I16" s="55" t="str">
        <x:v>Gate</x:v>
      </x:c>
    </x:row>
    <x:row r="17" ht="56" customHeight="1">
      <x:c r="A17" s="56" t="str">
        <x:v>NT-05</x:v>
      </x:c>
      <x:c r="B17" s="56" t="str">
        <x:v>Android</x:v>
      </x:c>
      <x:c r="C17" s="56" t="str">
        <x:v>Discover, preview, encrypt, upload</x:v>
      </x:c>
      <x:c r="D17" s="56" t="str">
        <x:v>Generation + observer/job + WorkManager/OkHttp</x:v>
      </x:c>
      <x:c r="E17" s="56" t="str">
        <x:v>NT-02,NT-03,CP-03</x:v>
      </x:c>
      <x:c r="F17" s="56" t="str">
        <x:v>Physical Android source reaches COMMITTED</x:v>
      </x:c>
      <x:c r="G17" s="56" t="str">
        <x:v>Android</x:v>
      </x:c>
      <x:c r="H17" s="68" t="str">
        <x:v>P0</x:v>
      </x:c>
      <x:c r="I17" s="56" t="str">
        <x:v>Gate</x:v>
      </x:c>
    </x:row>
    <x:row r="18" ht="56" customHeight="1">
      <x:c r="A18" s="55" t="str">
        <x:v>CP-04</x:v>
      </x:c>
      <x:c r="B18" s="55" t="str">
        <x:v>Backend</x:v>
      </x:c>
      <x:c r="C18" s="55" t="str">
        <x:v>Durable inbox and download authorization</x:v>
      </x:c>
      <x:c r="D18" s="55" t="str">
        <x:v>Cursor sync and recipient-scoped signed GET</x:v>
      </x:c>
      <x:c r="E18" s="55" t="str">
        <x:v>CP-03</x:v>
      </x:c>
      <x:c r="F18" s="55" t="str">
        <x:v>Pagination has no gap/duplicate/device leak</x:v>
      </x:c>
      <x:c r="G18" s="55" t="str">
        <x:v>Backend</x:v>
      </x:c>
      <x:c r="H18" s="68" t="str">
        <x:v>P0</x:v>
      </x:c>
      <x:c r="I18" s="55" t="str">
        <x:v>Build</x:v>
      </x:c>
    </x:row>
    <x:row r="19" ht="56" customHeight="1">
      <x:c r="A19" s="56" t="str">
        <x:v>NT-06</x:v>
      </x:c>
      <x:c r="B19" s="56" t="str">
        <x:v>Native</x:v>
      </x:c>
      <x:c r="C19" s="56" t="str">
        <x:v>Download, verify, exact save, receipt</x:v>
      </x:c>
      <x:c r="D19" s="56" t="str">
        <x:v>Both platforms; saved_asset + command outbox</x:v>
      </x:c>
      <x:c r="E19" s="56" t="str">
        <x:v>NT-04,NT-05,CP-04</x:v>
      </x:c>
      <x:c r="F19" s="56" t="str">
        <x:v>Exact bytes save once after restart</x:v>
      </x:c>
      <x:c r="G19" s="56" t="str">
        <x:v>Native</x:v>
      </x:c>
      <x:c r="H19" s="68" t="str">
        <x:v>P0</x:v>
      </x:c>
      <x:c r="I19" s="56" t="str">
        <x:v>Gate</x:v>
      </x:c>
    </x:row>
    <x:row r="20" ht="56" customHeight="1">
      <x:c r="A20" s="55" t="str">
        <x:v>UX-01</x:v>
      </x:c>
      <x:c r="B20" s="55" t="str">
        <x:v>Product</x:v>
      </x:c>
      <x:c r="C20" s="55" t="str">
        <x:v>Sign-in, permission, lobby, live roll</x:v>
      </x:c>
      <x:c r="D20" s="55" t="str">
        <x:v>Real projections and typed blockers</x:v>
      </x:c>
      <x:c r="E20" s="55" t="str">
        <x:v>DS-01,CP-02,NT-01</x:v>
      </x:c>
      <x:c r="F20" s="55" t="str">
        <x:v>Primary flow works with VoiceOver/TalkBack</x:v>
      </x:c>
      <x:c r="G20" s="55" t="str">
        <x:v>Mobile</x:v>
      </x:c>
      <x:c r="H20" s="68" t="str">
        <x:v>P0</x:v>
      </x:c>
      <x:c r="I20" s="55" t="str">
        <x:v>Build</x:v>
      </x:c>
    </x:row>
    <x:row r="21" ht="56" customHeight="1">
      <x:c r="A21" s="56" t="str">
        <x:v>CP-05</x:v>
      </x:c>
      <x:c r="B21" s="56" t="str">
        <x:v>Backend</x:v>
      </x:c>
      <x:c r="C21" s="56" t="str">
        <x:v>Receipt, reconciliation, purge</x:v>
      </x:c>
      <x:c r="D21" s="56" t="str">
        <x:v>Monotonic receipt and idempotent S3 delete</x:v>
      </x:c>
      <x:c r="E21" s="56" t="str">
        <x:v>CP-04,NT-06</x:v>
      </x:c>
      <x:c r="F21" s="56" t="str">
        <x:v>No false COMPLETE; final receipt purges</x:v>
      </x:c>
      <x:c r="G21" s="56" t="str">
        <x:v>Backend</x:v>
      </x:c>
      <x:c r="H21" s="68" t="str">
        <x:v>P0</x:v>
      </x:c>
      <x:c r="I21" s="56" t="str">
        <x:v>Gate</x:v>
      </x:c>
    </x:row>
    <x:row r="22" ht="56" customHeight="1">
      <x:c r="A22" s="55" t="str">
        <x:v>WOW-01</x:v>
      </x:c>
      <x:c r="B22" s="55" t="str">
        <x:v>Journey</x:v>
      </x:c>
      <x:c r="C22" s="55" t="str">
        <x:v>Two-device photo vertical slice</x:v>
      </x:c>
      <x:c r="D22" s="55" t="str">
        <x:v>One physical iOS/Android pair end to end</x:v>
      </x:c>
      <x:c r="E22" s="55" t="str">
        <x:v>UX-01,CP-05</x:v>
      </x:c>
      <x:c r="F22" s="55" t="str">
        <x:v>Preview wow + exact save + receipt + purge</x:v>
      </x:c>
      <x:c r="G22" s="55" t="str">
        <x:v>All</x:v>
      </x:c>
      <x:c r="H22" s="68" t="str">
        <x:v>P0</x:v>
      </x:c>
      <x:c r="I22" s="55" t="str">
        <x:v>Release gate</x:v>
      </x:c>
    </x:row>
    <x:row r="23" ht="56" customHeight="1">
      <x:c r="A23" s="56" t="str">
        <x:v>REL-01</x:v>
      </x:c>
      <x:c r="B23" s="56" t="str">
        <x:v>Scheduling</x:v>
      </x:c>
      <x:c r="C23" s="56" t="str">
        <x:v>Nightly release and device-local pause</x:v>
      </x:c>
      <x:c r="D23" s="56" t="str">
        <x:v>Temporal release jobs and native policy</x:v>
      </x:c>
      <x:c r="E23" s="56" t="str">
        <x:v>WOW-01</x:v>
      </x:c>
      <x:c r="F23" s="56" t="str">
        <x:v>DST/property/paused-capture tests pass</x:v>
      </x:c>
      <x:c r="G23" s="56" t="str">
        <x:v>All</x:v>
      </x:c>
      <x:c r="H23" s="72" t="str">
        <x:v>P1</x:v>
      </x:c>
      <x:c r="I23" s="56" t="str">
        <x:v>Build</x:v>
      </x:c>
    </x:row>
    <x:row r="24" ht="56" customHeight="1">
      <x:c r="A24" s="55" t="str">
        <x:v>OPS-01</x:v>
      </x:c>
      <x:c r="B24" s="55" t="str">
        <x:v>Operations</x:v>
      </x:c>
      <x:c r="C24" s="55" t="str">
        <x:v>Observability, redaction, repair</x:v>
      </x:c>
      <x:c r="D24" s="55" t="str">
        <x:v>OTel/Sentry/PostHog allowlist, alerts, runbooks</x:v>
      </x:c>
      <x:c r="E24" s="55" t="str">
        <x:v>WOW-01</x:v>
      </x:c>
      <x:c r="F24" s="55" t="str">
        <x:v>Secrets never log; stuck work is actionable</x:v>
      </x:c>
      <x:c r="G24" s="55" t="str">
        <x:v>SRE/Security</x:v>
      </x:c>
      <x:c r="H24" s="72" t="str">
        <x:v>P1</x:v>
      </x:c>
      <x:c r="I24" s="55" t="str">
        <x:v>Gate</x:v>
      </x:c>
    </x:row>
    <x:row r="25" ht="56" customHeight="1">
      <x:c r="A25" s="56" t="str">
        <x:v>SCL-01</x:v>
      </x:c>
      <x:c r="B25" s="56" t="str">
        <x:v>Scale</x:v>
      </x:c>
      <x:c r="C25" s="56" t="str">
        <x:v>Expand to 10 members and 5k users</x:v>
      </x:c>
      <x:c r="D25" s="56" t="str">
        <x:v>Mixed-device chaos + k6 metadata load</x:v>
      </x:c>
      <x:c r="E25" s="56" t="str">
        <x:v>REL-01,OPS-01</x:v>
      </x:c>
      <x:c r="F25" s="56" t="str">
        <x:v>SLOs and invariants pass at planning envelope</x:v>
      </x:c>
      <x:c r="G25" s="56" t="str">
        <x:v>All</x:v>
      </x:c>
      <x:c r="H25" s="72" t="str">
        <x:v>P1</x:v>
      </x:c>
      <x:c r="I25" s="56" t="str">
        <x:v>Release gate</x:v>
      </x:c>
    </x:row>
    <x:row r="26" ht="56" customHeight="1">
      <x:c r="A26" s="55" t="str">
        <x:v>INF-01</x:v>
      </x:c>
      <x:c r="B26" s="55" t="str">
        <x:v>Infra</x:v>
      </x:c>
      <x:c r="C26" s="55" t="str">
        <x:v>Terraform staging/production</x:v>
      </x:c>
      <x:c r="D26" s="55" t="str">
        <x:v>ECS/RDS/S3/KMS/VPC/IAM/alarms</x:v>
      </x:c>
      <x:c r="E26" s="55" t="str">
        <x:v>CP-05,OPS-01</x:v>
      </x:c>
      <x:c r="F26" s="55" t="str">
        <x:v>Policy tests plus real staging purge pass</x:v>
      </x:c>
      <x:c r="G26" s="55" t="str">
        <x:v>Platform</x:v>
      </x:c>
      <x:c r="H26" s="72" t="str">
        <x:v>P1</x:v>
      </x:c>
      <x:c r="I26" s="55" t="str">
        <x:v>Gate</x:v>
      </x:c>
    </x:row>
    <x:row r="27" ht="56" customHeight="1">
      <x:c r="A27" s="56" t="str">
        <x:v>SHIP-01</x:v>
      </x:c>
      <x:c r="B27" s="56" t="str">
        <x:v>Release</x:v>
      </x:c>
      <x:c r="C27" s="56" t="str">
        <x:v>Store-ready builds and acceptance</x:v>
      </x:c>
      <x:c r="D27" s="56" t="str">
        <x:v>EAS previews, Maestro, physical devices, identity artifact check</x:v>
      </x:c>
      <x:c r="E27" s="56" t="str">
        <x:v>SCL-01,INF-01</x:v>
      </x:c>
      <x:c r="F27" s="56" t="str">
        <x:v>Full journey passes; identifiers unchanged</x:v>
      </x:c>
      <x:c r="G27" s="56" t="str">
        <x:v>All</x:v>
      </x:c>
      <x:c r="H27" s="72" t="str">
        <x:v>P1</x:v>
      </x:c>
      <x:c r="I27" s="56" t="str">
        <x:v>Release gate</x:v>
      </x:c>
    </x:row>
  </x:sheetData>
  <x:mergeCells>
    <x:mergeCell ref="A1:I2"/>
    <x:mergeCell ref="A3:I3"/>
  </x:mergeCells>
  <x:pageMargins left="0.7" right="0.7" top="0.75" bottom="0.75" header="0.3" footer="0.3"/>
</x:worksheet>
</file>